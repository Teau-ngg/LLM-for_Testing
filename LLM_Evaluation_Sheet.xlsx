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Hướng Dẫn" sheetId="1" r:id="rId5"/>
    <sheet state="visible" name="📊 Rubric" sheetId="2" r:id="rId6"/>
    <sheet state="visible" name="📝 Feature_1" sheetId="3" r:id="rId7"/>
    <sheet state="visible" name="📝 Feature_2" sheetId="4" r:id="rId8"/>
    <sheet state="visible" name="📝 Feature_3" sheetId="5" r:id="rId9"/>
    <sheet state="visible" name="📈 Tổng Hợp" sheetId="6" r:id="rId10"/>
  </sheets>
  <definedNames/>
  <calcPr/>
</workbook>
</file>

<file path=xl/sharedStrings.xml><?xml version="1.0" encoding="utf-8"?>
<sst xmlns="http://schemas.openxmlformats.org/spreadsheetml/2006/main" count="660" uniqueCount="184">
  <si>
    <t>🔬 EVALUATION SHEET — SO SÁNH 3 LLM SINH TEST CASE</t>
  </si>
  <si>
    <t>Đề tài: Phân tích hiệu quả của LLM trong quy trình phát triển phần mềm</t>
  </si>
  <si>
    <t>MỤC ĐÍCH</t>
  </si>
  <si>
    <t>Sheet này dùng để chấm điểm và so sánh output test case của ChatGPT, Gemini, và Qwen/Llama (open-source) trên cùng 1 bộ User Story/AC.</t>
  </si>
  <si>
    <t>CÁC SHEET</t>
  </si>
  <si>
    <t>• 📊 Rubric → Bảng tiêu chí chấm điểm chi tiết (10 điểm)
• 📝 Feature_1..N → Mỗi feature 1 sheet, điền output 3 LLM
• 📈 Tổng Hợp → Tổng hợp điểm tất cả feature, vẽ chart so sánh</t>
  </si>
  <si>
    <t>QUY TRÌNH</t>
  </si>
  <si>
    <t>1. Chạy Llama/Qwen trên Colab → lưu output
2. Gửi cùng prompt cho ChatGPT → lưu output
3. Gửi cùng prompt cho Gemini → lưu output
4. Điền output vào sheet Feature_X
5. Chấm điểm theo Rubric → điền vào cột Score
6. Sheet Tổng Hợp tự tính toán</t>
  </si>
  <si>
    <t>LƯU Ý</t>
  </si>
  <si>
    <t>• Dùng CÙNG 1 prompt cho cả 3 LLM (copy từ PromptTemplates.md)
• Ghi lại thời gian sinh (giây) và chi phí ước tính
• Chấm điểm độc lập cho từng LLM, không so sánh chéo khi chấm
• Inter-rater: nếu có 2 người chấm, lấy trung bình</t>
  </si>
  <si>
    <t>METRICS</t>
  </si>
  <si>
    <t>Điểm chất lượng (0-10) | Số TC sinh ra | Coverage rate (%) | Edge case ratio (%) | Thời gian sinh (s) | Chi phí ước tính ($)</t>
  </si>
  <si>
    <t>📊 RUBRIC CHẤM ĐIỂM TEST CASE — THANG 10 ĐIỂM</t>
  </si>
  <si>
    <t>#</t>
  </si>
  <si>
    <t>Tiêu chí</t>
  </si>
  <si>
    <t>Mô tả chi tiết</t>
  </si>
  <si>
    <t>ChatGPT</t>
  </si>
  <si>
    <t>Gemini</t>
  </si>
  <si>
    <t>Qwen
(Open)</t>
  </si>
  <si>
    <t>Ghi chú</t>
  </si>
  <si>
    <t xml:space="preserve">  PHẦN 1 — COVERAGE &amp; COMPLETENESS  ·  Tối đa: 3.0 điểm</t>
  </si>
  <si>
    <t>1.1</t>
  </si>
  <si>
    <t>Happy Path Coverage</t>
  </si>
  <si>
    <t>Tất cả AC scenario chính đều có TC cover. Luồng chính user journey được test đầy đủ.</t>
  </si>
  <si>
    <t>1.2</t>
  </si>
  <si>
    <t>Negative / Error Handling</t>
  </si>
  <si>
    <t>Có TC cho invalid input, bỏ trống field, sai format, lỗi network. Error message đúng vị trí.</t>
  </si>
  <si>
    <t>1.3</t>
  </si>
  <si>
    <t>Boundary &amp; Edge Case</t>
  </si>
  <si>
    <t>Có TC min/max, empty, special chars, Unicode, race condition, state transition bất thường.</t>
  </si>
  <si>
    <t xml:space="preserve">  PHẦN 2 — CHẤT LƯỢNG VIẾT  ·  Tối đa: 3.0 điểm</t>
  </si>
  <si>
    <t>2.1</t>
  </si>
  <si>
    <t>Test Step rõ ràng &amp; executable</t>
  </si>
  <si>
    <t>Step đánh số, bắt đầu động từ, mỗi step 1 hành động. QA đọc có thể execute ngay.</t>
  </si>
  <si>
    <t>2.2</t>
  </si>
  <si>
    <t>Expected Result quan sát được</t>
  </si>
  <si>
    <t>ER đánh số tương ứng step, mô tả kết quả UI/API/data cụ thể, không mơ hồ.</t>
  </si>
  <si>
    <t>2.3</t>
  </si>
  <si>
    <t>Pre-condition &amp; Test Data cụ thể</t>
  </si>
  <si>
    <t>Pre-condition đủ để setup env. Test data không ghi chung chung 'dữ liệu hợp lệ'.</t>
  </si>
  <si>
    <t xml:space="preserve">  PHẦN 3 — FORMAT &amp; STRUCTURE  ·  Tối đa: 2.0 điểm</t>
  </si>
  <si>
    <t>3.1</t>
  </si>
  <si>
    <t>Tuân thủ format bảng</t>
  </si>
  <si>
    <t>Đủ 7 cột đúng thứ tự. ID đúng format PREFIX_001. Category là tên module.</t>
  </si>
  <si>
    <t>3.2</t>
  </si>
  <si>
    <t>Coverage Summary &amp; Questions</t>
  </si>
  <si>
    <t>Có Coverage Summary ở đầu. Có Questions to PO/BA nếu AC không rõ.</t>
  </si>
  <si>
    <t xml:space="preserve">  PHẦN 4 — DOMAIN &amp; LOGIC  ·  Tối đa: 2.0 điểm</t>
  </si>
  <si>
    <t>4.1</t>
  </si>
  <si>
    <t>Logic nghiệp vụ đúng</t>
  </si>
  <si>
    <t>TC không bịa behavior không có trong AC. Không test ngược AC. Logic flow đúng.</t>
  </si>
  <si>
    <t>4.2</t>
  </si>
  <si>
    <t>Security &amp; Domain-specific</t>
  </si>
  <si>
    <t>Có TC XSS/SQL injection nếu có user input. Áp dụng đúng rule domain (Booking/Payment/Search).</t>
  </si>
  <si>
    <t>TỔNG ĐIỂM  (=SUM của các tiêu chí)</t>
  </si>
  <si>
    <t>Max: 10.0</t>
  </si>
  <si>
    <t>Feature 1: Login — Output 3 LLM</t>
  </si>
  <si>
    <t>Prompt version:</t>
  </si>
  <si>
    <t>v1.0</t>
  </si>
  <si>
    <t>Ngày thực nghiệm:</t>
  </si>
  <si>
    <t>Người chấm:</t>
  </si>
  <si>
    <t>ID</t>
  </si>
  <si>
    <t>Description</t>
  </si>
  <si>
    <t>Category</t>
  </si>
  <si>
    <t>Pre-condition</t>
  </si>
  <si>
    <t>Test Step</t>
  </si>
  <si>
    <t>Expected Result</t>
  </si>
  <si>
    <t>Priority</t>
  </si>
  <si>
    <t>Model</t>
  </si>
  <si>
    <t>Ghi chú / Metadata</t>
  </si>
  <si>
    <t>▶  Mistral AI - Hugging Face</t>
  </si>
  <si>
    <t>⏱ Thời gian sinh (s):</t>
  </si>
  <si>
    <t>💰 Chi phí ước tính ($):</t>
  </si>
  <si>
    <t>CHA_001</t>
  </si>
  <si>
    <t>1.
2.
3.</t>
  </si>
  <si>
    <t>Medium</t>
  </si>
  <si>
    <t>ChatGPT (GPT-4o)</t>
  </si>
  <si>
    <t>CHA_002</t>
  </si>
  <si>
    <t>CHA_003</t>
  </si>
  <si>
    <t>CHA_004</t>
  </si>
  <si>
    <t>CHA_005</t>
  </si>
  <si>
    <t>CHA_006</t>
  </si>
  <si>
    <t>CHA_007</t>
  </si>
  <si>
    <t>CHA_008</t>
  </si>
  <si>
    <t>CHA_009</t>
  </si>
  <si>
    <t>CHA_010</t>
  </si>
  <si>
    <t>📊 Điểm chất lượng ChatGPT (GPT-4o) (từ sheet Rubric):</t>
  </si>
  <si>
    <t>← Điền từ sheet Rubric</t>
  </si>
  <si>
    <t>▶  Gemini 3.5 Pro</t>
  </si>
  <si>
    <t>GEM_001</t>
  </si>
  <si>
    <t>Gemini 1.5 Pro</t>
  </si>
  <si>
    <t>GEM_002</t>
  </si>
  <si>
    <t>GEM_003</t>
  </si>
  <si>
    <t>GEM_004</t>
  </si>
  <si>
    <t>GEM_005</t>
  </si>
  <si>
    <t>GEM_006</t>
  </si>
  <si>
    <t>GEM_007</t>
  </si>
  <si>
    <t>GEM_008</t>
  </si>
  <si>
    <t>GEM_009</t>
  </si>
  <si>
    <t>GEM_010</t>
  </si>
  <si>
    <t>📊 Điểm chất lượng Gemini 1.5 Pro (từ sheet Rubric):</t>
  </si>
  <si>
    <t>▶  Qwen2.5-7B (Local/Colab)</t>
  </si>
  <si>
    <t>⏱ Thời gian sinh (s): 5 minutes</t>
  </si>
  <si>
    <t>💰 Chi phí ước tính ($): free</t>
  </si>
  <si>
    <t>LOGIN_001</t>
  </si>
  <si>
    <t>Đăng nhập thành công</t>
  </si>
  <si>
    <t>Positive</t>
  </si>
  <si>
    <t>User đã tạo tài khoản với email valid và password</t>
  </si>
  <si>
    <t>1. Nhập email và password vào các trường tương ứng 
  2. Nhấn nút Đăng nhập</t>
  </si>
  <si>
    <t>1. Được redirect đến màn hình Home 
  2. Hiển thị tên user ở header</t>
  </si>
  <si>
    <t>High</t>
  </si>
  <si>
    <t>Qwen2.5-7B (Local/Colab)</t>
  </si>
  <si>
    <t>LOGIN_002</t>
  </si>
  <si>
    <t>Email không tồn tại</t>
  </si>
  <si>
    <t>Negative</t>
  </si>
  <si>
    <t>User nhập email chưa đăng ký</t>
  </si>
  <si>
    <t>1. Nhập email chưa đăng ký vào trường Email 
  2. Nhập password bất kỳ vào trường Password 
  3. Nhấn nút Đăng nhập</t>
  </si>
  <si>
    <t>Hiển thị thông báo lỗi "Email không tồn tại"</t>
  </si>
  <si>
    <t>LOGIN_003</t>
  </si>
  <si>
    <t>Sai password</t>
  </si>
  <si>
    <t>User nhập đúng email nhưng sai password</t>
  </si>
  <si>
    <t>1. Nhập email hợp lệ vào trường Email 
  2. Nhập password sai vào trường Password 
  3. Nhấn nút Đăng nhập</t>
  </si>
  <si>
    <t>1. Hiển thị thông báo lỗi "Mật khẩu không chính xác" 
  2. Tài khoản bị khóa tạm thời 15 phút sau 5 lần sai liên tiếp</t>
  </si>
  <si>
    <t>LOGIN_004</t>
  </si>
  <si>
    <t>Bỏ trống field</t>
  </si>
  <si>
    <t>User không nhập email hoặc password</t>
  </si>
  <si>
    <t>1. Không nhập gì vào trường Email 
  2. Không nhập gì vào trường Password 
  3. Nhấn nút Đăng nhập</t>
  </si>
  <si>
    <t>1. Hiển thị validation error tại cả hai trường Email và Password 
  2. Nút Đăng nhập bị disabled</t>
  </si>
  <si>
    <t>LOGIN_005</t>
  </si>
  <si>
    <t>Quên mật khẩu</t>
  </si>
  <si>
    <t>Security</t>
  </si>
  <si>
    <t>User ở màn hình Login</t>
  </si>
  <si>
    <t>1. Tap vào nút "Quên mật khẩu?" 
  2. Đi đến màn hình Reset Password</t>
  </si>
  <si>
    <t>Redirect sang màn hình Reset Password</t>
  </si>
  <si>
    <t>📊 Điểm chất lượng Qwen2.5-7B (Local/Colab) (từ sheet Rubric):</t>
  </si>
  <si>
    <t>Feature 2: [Điền tên feature] — Output 3 LLM</t>
  </si>
  <si>
    <t>▶  ChatGPT (GPT-4o)</t>
  </si>
  <si>
    <t>▶  Gemini 1.5 Pro</t>
  </si>
  <si>
    <t>QWE_001</t>
  </si>
  <si>
    <t>QWE_002</t>
  </si>
  <si>
    <t>QWE_003</t>
  </si>
  <si>
    <t>QWE_004</t>
  </si>
  <si>
    <t>QWE_005</t>
  </si>
  <si>
    <t>QWE_006</t>
  </si>
  <si>
    <t>QWE_007</t>
  </si>
  <si>
    <t>QWE_008</t>
  </si>
  <si>
    <t>QWE_009</t>
  </si>
  <si>
    <t>QWE_010</t>
  </si>
  <si>
    <t>Feature 3: [Điền tên feature] — Output 3 LLM</t>
  </si>
  <si>
    <t>📈 TỔNG HỢP KẾT QUẢ — SO SÁNH 3 LLM</t>
  </si>
  <si>
    <t>Feature</t>
  </si>
  <si>
    <t>ChatGPT
Score /10</t>
  </si>
  <si>
    <t>Gemini
Score /10</t>
  </si>
  <si>
    <t>Qwen
Score /10</t>
  </si>
  <si>
    <t>ChatGPT
# TC sinh ra</t>
  </si>
  <si>
    <t>Gemini
# TC sinh ra</t>
  </si>
  <si>
    <t>Qwen
# TC sinh ra</t>
  </si>
  <si>
    <t>Winner</t>
  </si>
  <si>
    <t>Feature 1: [Tên]</t>
  </si>
  <si>
    <t>Feature 2: [Tên]</t>
  </si>
  <si>
    <t>Feature 3: [Tên]</t>
  </si>
  <si>
    <t>TRUNG BÌNH</t>
  </si>
  <si>
    <t>📊 BẢNG SO SÁNH METRICS TỔNG HỢP</t>
  </si>
  <si>
    <t>Metric</t>
  </si>
  <si>
    <t>Qwen (Open-source)</t>
  </si>
  <si>
    <t>Điểm chất lượng TB (0-10)</t>
  </si>
  <si>
    <t>Từ rubric 10 tiêu chí</t>
  </si>
  <si>
    <t>Số TC trung bình / feature</t>
  </si>
  <si>
    <t>Đếm từ output</t>
  </si>
  <si>
    <t>Coverage rate TB (%)</t>
  </si>
  <si>
    <t>% AC scenario được cover</t>
  </si>
  <si>
    <t>Edge case ratio TB (%)</t>
  </si>
  <si>
    <t>% TC là edge/boundary/negative</t>
  </si>
  <si>
    <t>Thời gian sinh TB (giây)</t>
  </si>
  <si>
    <t>Ghi lại khi chạy</t>
  </si>
  <si>
    <t>Chi phí / feature ($)</t>
  </si>
  <si>
    <t>~$0.02-0.05</t>
  </si>
  <si>
    <t>Free tier</t>
  </si>
  <si>
    <t>$0.00</t>
  </si>
  <si>
    <t>Colab free</t>
  </si>
  <si>
    <t>Tiếng Việt quality</t>
  </si>
  <si>
    <t>Đánh giá chủ quan 1-5</t>
  </si>
  <si>
    <t>Hallucination rate</t>
  </si>
  <si>
    <t>% TC bịa behavior không có 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</si>
</sst>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1F3864"/>
      <name val="Arial"/>
    </font>
    <font>
      <sz val="9.0"/>
      <color rgb="FF000000"/>
      <name val="Arial"/>
    </font>
    <font>
      <b/>
      <sz val="13.0"/>
      <color rgb="FFFFFFFF"/>
      <name val="Arial"/>
    </font>
    <font>
      <b/>
      <sz val="9.0"/>
      <color theme="1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9.0"/>
      <color rgb="FF000000"/>
      <name val="Arial"/>
    </font>
    <font>
      <sz val="11.0"/>
      <color theme="1"/>
      <name val="Calibri"/>
    </font>
    <font>
      <b/>
      <sz val="12.0"/>
      <color rgb="FF000000"/>
      <name val="Arial"/>
    </font>
    <font>
      <i/>
      <sz val="9.0"/>
      <color rgb="FF000000"/>
      <name val="Arial"/>
    </font>
    <font>
      <color theme="1"/>
      <name val="Arial"/>
    </font>
    <font>
      <i/>
      <color rgb="FF1F7A1F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0F4F8"/>
        <bgColor rgb="FFF0F4F8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</border>
    <border>
      <left/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/>
      <top style="thin">
        <color rgb="FFCCCCCC"/>
      </top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/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left" shrinkToFit="0" vertical="center" wrapText="1"/>
    </xf>
    <xf borderId="1" fillId="7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6" fillId="5" fontId="12" numFmtId="0" xfId="0" applyAlignment="1" applyBorder="1" applyFont="1">
      <alignment shrinkToFit="0" vertical="bottom" wrapText="0"/>
    </xf>
    <xf borderId="4" fillId="5" fontId="5" numFmtId="0" xfId="0" applyAlignment="1" applyBorder="1" applyFont="1">
      <alignment horizontal="left" shrinkToFit="0" vertical="center" wrapText="1"/>
    </xf>
    <xf borderId="1" fillId="5" fontId="11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left" readingOrder="0" shrinkToFit="0" vertical="center" wrapText="1"/>
    </xf>
    <xf borderId="5" fillId="6" fontId="5" numFmtId="0" xfId="0" applyAlignment="1" applyBorder="1" applyFont="1">
      <alignment horizontal="left" shrinkToFit="0" vertical="center" wrapText="1"/>
    </xf>
    <xf borderId="6" fillId="6" fontId="12" numFmtId="0" xfId="0" applyAlignment="1" applyBorder="1" applyFont="1">
      <alignment shrinkToFit="0" vertical="bottom" wrapText="0"/>
    </xf>
    <xf borderId="4" fillId="6" fontId="5" numFmtId="0" xfId="0" applyAlignment="1" applyBorder="1" applyFont="1">
      <alignment horizontal="left" shrinkToFit="0" vertical="center" wrapText="1"/>
    </xf>
    <xf borderId="1" fillId="6" fontId="11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left" shrinkToFit="0" vertical="center" wrapText="1"/>
    </xf>
    <xf borderId="7" fillId="7" fontId="5" numFmtId="0" xfId="0" applyAlignment="1" applyBorder="1" applyFont="1">
      <alignment horizontal="left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5" fillId="7" fontId="5" numFmtId="0" xfId="0" applyAlignment="1" applyBorder="1" applyFont="1">
      <alignment horizontal="left" shrinkToFit="0" vertical="center" wrapText="1"/>
    </xf>
    <xf borderId="10" fillId="7" fontId="12" numFmtId="0" xfId="0" applyAlignment="1" applyBorder="1" applyFont="1">
      <alignment shrinkToFit="0" vertical="bottom" wrapText="0"/>
    </xf>
    <xf borderId="11" fillId="0" fontId="15" numFmtId="0" xfId="0" applyAlignment="1" applyBorder="1" applyFont="1">
      <alignment horizontal="left" readingOrder="0" vertical="top"/>
    </xf>
    <xf borderId="11" fillId="0" fontId="16" numFmtId="0" xfId="0" applyAlignment="1" applyBorder="1" applyFont="1">
      <alignment horizontal="left" readingOrder="0" vertical="top"/>
    </xf>
    <xf borderId="11" fillId="9" fontId="15" numFmtId="0" xfId="0" applyAlignment="1" applyBorder="1" applyFill="1" applyFont="1">
      <alignment horizontal="center" readingOrder="0"/>
    </xf>
    <xf borderId="11" fillId="7" fontId="5" numFmtId="0" xfId="0" applyAlignment="1" applyBorder="1" applyFont="1">
      <alignment horizontal="left" shrinkToFit="0" vertical="center" wrapText="1"/>
    </xf>
    <xf borderId="11" fillId="8" fontId="5" numFmtId="0" xfId="0" applyAlignment="1" applyBorder="1" applyFont="1">
      <alignment horizontal="left" shrinkToFit="0" vertical="center" wrapText="1"/>
    </xf>
    <xf borderId="11" fillId="10" fontId="15" numFmtId="0" xfId="0" applyAlignment="1" applyBorder="1" applyFill="1" applyFont="1">
      <alignment horizontal="center" readingOrder="0"/>
    </xf>
    <xf borderId="12" fillId="7" fontId="11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7" fontId="13" numFmtId="0" xfId="0" applyAlignment="1" applyBorder="1" applyFont="1">
      <alignment horizontal="center" shrinkToFit="0" vertical="center" wrapText="1"/>
    </xf>
    <xf borderId="12" fillId="7" fontId="14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6" fillId="7" fontId="12" numFmtId="0" xfId="0" applyAlignment="1" applyBorder="1" applyFont="1">
      <alignment shrinkToFit="0" vertical="bottom" wrapText="0"/>
    </xf>
    <xf borderId="4" fillId="7" fontId="5" numFmtId="0" xfId="0" applyAlignment="1" applyBorder="1" applyFont="1">
      <alignment horizontal="left" shrinkToFit="0" vertical="center" wrapText="1"/>
    </xf>
    <xf borderId="1" fillId="7" fontId="11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horizontal="center" shrinkToFit="0" vertical="center" wrapText="1"/>
    </xf>
    <xf borderId="1" fillId="7" fontId="14" numFmtId="0" xfId="0" applyAlignment="1" applyBorder="1" applyFont="1">
      <alignment horizontal="left" shrinkToFit="0" vertical="center" wrapText="1"/>
    </xf>
    <xf borderId="4" fillId="4" fontId="17" numFmtId="0" xfId="0" applyAlignment="1" applyBorder="1" applyFont="1">
      <alignment horizontal="center" shrinkToFit="0" vertical="center" wrapText="1"/>
    </xf>
    <xf borderId="4" fillId="4" fontId="17" numFmtId="0" xfId="0" applyAlignment="1" applyBorder="1" applyFont="1">
      <alignment horizontal="left" shrinkToFit="0" vertical="center" wrapText="1"/>
    </xf>
    <xf borderId="4" fillId="4" fontId="18" numFmtId="0" xfId="0" applyAlignment="1" applyBorder="1" applyFont="1">
      <alignment horizontal="center" shrinkToFit="0" vertical="center" wrapText="1"/>
    </xf>
    <xf borderId="4" fillId="8" fontId="17" numFmtId="0" xfId="0" applyAlignment="1" applyBorder="1" applyFont="1">
      <alignment horizontal="center" shrinkToFit="0" vertical="center" wrapText="1"/>
    </xf>
    <xf borderId="4" fillId="8" fontId="17" numFmtId="0" xfId="0" applyAlignment="1" applyBorder="1" applyFont="1">
      <alignment horizontal="left" shrinkToFit="0" vertical="center" wrapText="1"/>
    </xf>
    <xf borderId="4" fillId="8" fontId="18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4" fillId="8" fontId="11" numFmtId="0" xfId="0" applyAlignment="1" applyBorder="1" applyFont="1">
      <alignment horizontal="left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So sánh điểm chất lượng TB — 3 LLM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ChatGPT
Score /10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'📈 Tổng Hợp'!$B$3:$B$5</c:f>
            </c:strRef>
          </c:cat>
          <c:val>
            <c:numRef>
              <c:f>'📈 Tổng Hợp'!$C$3:$C$6</c:f>
              <c:numCache/>
            </c:numRef>
          </c:val>
        </c:ser>
        <c:ser>
          <c:idx val="1"/>
          <c:order val="1"/>
          <c:tx>
            <c:v>Gemini
Score /10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'📈 Tổng Hợp'!$B$3:$B$5</c:f>
            </c:strRef>
          </c:cat>
          <c:val>
            <c:numRef>
              <c:f>'📈 Tổng Hợp'!$D$3:$D$6</c:f>
              <c:numCache/>
            </c:numRef>
          </c:val>
        </c:ser>
        <c:ser>
          <c:idx val="2"/>
          <c:order val="2"/>
          <c:tx>
            <c:v>Qwen
Score /10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'📈 Tổng Hợp'!$B$3:$B$5</c:f>
            </c:strRef>
          </c:cat>
          <c:val>
            <c:numRef>
              <c:f>'📈 Tổng Hợp'!$E$3:$E$6</c:f>
              <c:numCache/>
            </c:numRef>
          </c:val>
        </c:ser>
        <c:axId val="1620813019"/>
        <c:axId val="184064027"/>
      </c:barChart>
      <c:catAx>
        <c:axId val="1620813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064027"/>
      </c:catAx>
      <c:valAx>
        <c:axId val="184064027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Điểm (0-10)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2081301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0</xdr:rowOff>
    </xdr:from>
    <xdr:ext cx="6162675" cy="4524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60.0"/>
    <col customWidth="1" min="4" max="4" width="20.0"/>
    <col customWidth="1" min="5" max="26" width="8.71"/>
  </cols>
  <sheetData>
    <row r="1" ht="36.0" customHeight="1">
      <c r="B1" s="1" t="s">
        <v>0</v>
      </c>
      <c r="C1" s="2"/>
      <c r="D1" s="3"/>
    </row>
    <row r="2" ht="19.5" customHeight="1">
      <c r="B2" s="4" t="s">
        <v>1</v>
      </c>
      <c r="C2" s="2"/>
      <c r="D2" s="3"/>
    </row>
    <row r="4" ht="60.0" customHeight="1">
      <c r="B4" s="5" t="s">
        <v>2</v>
      </c>
      <c r="C4" s="6" t="s">
        <v>3</v>
      </c>
      <c r="D4" s="3"/>
    </row>
    <row r="6" ht="60.0" customHeight="1">
      <c r="B6" s="5" t="s">
        <v>4</v>
      </c>
      <c r="C6" s="6" t="s">
        <v>5</v>
      </c>
      <c r="D6" s="3"/>
    </row>
    <row r="9" ht="60.0" customHeight="1">
      <c r="B9" s="7" t="s">
        <v>6</v>
      </c>
      <c r="C9" s="8" t="s">
        <v>7</v>
      </c>
      <c r="D9" s="3"/>
    </row>
    <row r="13" ht="60.0" customHeight="1">
      <c r="B13" s="9" t="s">
        <v>8</v>
      </c>
      <c r="C13" s="10" t="s">
        <v>9</v>
      </c>
      <c r="D13" s="3"/>
    </row>
    <row r="17" ht="60.0" customHeight="1">
      <c r="B17" s="11" t="s">
        <v>10</v>
      </c>
      <c r="C17" s="12" t="s">
        <v>11</v>
      </c>
      <c r="D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D1"/>
    <mergeCell ref="B2:D2"/>
    <mergeCell ref="C4:D4"/>
    <mergeCell ref="C6:D6"/>
    <mergeCell ref="C9:D9"/>
    <mergeCell ref="C13:D13"/>
    <mergeCell ref="C17:D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28.0"/>
    <col customWidth="1" min="4" max="4" width="45.0"/>
    <col customWidth="1" min="5" max="5" width="13.71"/>
    <col customWidth="1" min="6" max="7" width="8.0"/>
    <col customWidth="1" min="8" max="8" width="22.0"/>
    <col customWidth="1" min="9" max="26" width="8.71"/>
  </cols>
  <sheetData>
    <row r="1" ht="39.75" customHeight="1">
      <c r="B1" s="13" t="s">
        <v>12</v>
      </c>
      <c r="C1" s="2"/>
      <c r="D1" s="2"/>
      <c r="E1" s="2"/>
      <c r="F1" s="2"/>
      <c r="G1" s="2"/>
      <c r="H1" s="3"/>
    </row>
    <row r="2" ht="47.25" customHeight="1">
      <c r="B2" s="14" t="s">
        <v>13</v>
      </c>
      <c r="C2" s="14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</row>
    <row r="3" ht="21.75" customHeight="1">
      <c r="B3" s="15" t="s">
        <v>20</v>
      </c>
      <c r="C3" s="2"/>
      <c r="D3" s="2"/>
      <c r="E3" s="2"/>
      <c r="F3" s="2"/>
      <c r="G3" s="2"/>
      <c r="H3" s="3"/>
    </row>
    <row r="4" ht="51.75" customHeight="1">
      <c r="B4" s="16" t="s">
        <v>21</v>
      </c>
      <c r="C4" s="17" t="s">
        <v>22</v>
      </c>
      <c r="D4" s="16" t="s">
        <v>23</v>
      </c>
      <c r="E4" s="18">
        <v>0.0</v>
      </c>
      <c r="F4" s="19">
        <v>0.0</v>
      </c>
      <c r="G4" s="20">
        <v>1.0</v>
      </c>
      <c r="H4" s="16"/>
    </row>
    <row r="5" ht="51.75" customHeight="1">
      <c r="B5" s="16" t="s">
        <v>24</v>
      </c>
      <c r="C5" s="17" t="s">
        <v>25</v>
      </c>
      <c r="D5" s="16" t="s">
        <v>26</v>
      </c>
      <c r="E5" s="18">
        <v>0.0</v>
      </c>
      <c r="F5" s="19">
        <v>0.0</v>
      </c>
      <c r="G5" s="20">
        <v>1.0</v>
      </c>
      <c r="H5" s="16"/>
    </row>
    <row r="6" ht="51.75" customHeight="1">
      <c r="B6" s="16" t="s">
        <v>27</v>
      </c>
      <c r="C6" s="17" t="s">
        <v>28</v>
      </c>
      <c r="D6" s="16" t="s">
        <v>29</v>
      </c>
      <c r="E6" s="18">
        <v>0.0</v>
      </c>
      <c r="F6" s="19">
        <v>0.0</v>
      </c>
      <c r="G6" s="20">
        <v>1.0</v>
      </c>
      <c r="H6" s="16"/>
    </row>
    <row r="7" ht="21.75" customHeight="1">
      <c r="B7" s="21" t="s">
        <v>30</v>
      </c>
      <c r="C7" s="2"/>
      <c r="D7" s="2"/>
      <c r="E7" s="2"/>
      <c r="F7" s="2"/>
      <c r="G7" s="2"/>
      <c r="H7" s="3"/>
    </row>
    <row r="8" ht="51.75" customHeight="1">
      <c r="B8" s="16" t="s">
        <v>31</v>
      </c>
      <c r="C8" s="17" t="s">
        <v>32</v>
      </c>
      <c r="D8" s="16" t="s">
        <v>33</v>
      </c>
      <c r="E8" s="18">
        <v>0.0</v>
      </c>
      <c r="F8" s="19">
        <v>0.0</v>
      </c>
      <c r="G8" s="20">
        <v>0.5</v>
      </c>
      <c r="H8" s="16"/>
    </row>
    <row r="9" ht="51.75" customHeight="1">
      <c r="B9" s="16" t="s">
        <v>34</v>
      </c>
      <c r="C9" s="17" t="s">
        <v>35</v>
      </c>
      <c r="D9" s="16" t="s">
        <v>36</v>
      </c>
      <c r="E9" s="18">
        <v>0.0</v>
      </c>
      <c r="F9" s="19">
        <v>0.0</v>
      </c>
      <c r="G9" s="20">
        <v>1.0</v>
      </c>
      <c r="H9" s="16"/>
    </row>
    <row r="10" ht="51.75" customHeight="1">
      <c r="B10" s="16" t="s">
        <v>37</v>
      </c>
      <c r="C10" s="17" t="s">
        <v>38</v>
      </c>
      <c r="D10" s="16" t="s">
        <v>39</v>
      </c>
      <c r="E10" s="18">
        <v>0.0</v>
      </c>
      <c r="F10" s="19">
        <v>0.0</v>
      </c>
      <c r="G10" s="20">
        <v>1.0</v>
      </c>
      <c r="H10" s="16"/>
    </row>
    <row r="11" ht="21.75" customHeight="1">
      <c r="B11" s="22" t="s">
        <v>40</v>
      </c>
      <c r="C11" s="2"/>
      <c r="D11" s="2"/>
      <c r="E11" s="2"/>
      <c r="F11" s="2"/>
      <c r="G11" s="2"/>
      <c r="H11" s="3"/>
    </row>
    <row r="12" ht="51.75" customHeight="1">
      <c r="B12" s="16" t="s">
        <v>41</v>
      </c>
      <c r="C12" s="17" t="s">
        <v>42</v>
      </c>
      <c r="D12" s="16" t="s">
        <v>43</v>
      </c>
      <c r="E12" s="18">
        <v>0.0</v>
      </c>
      <c r="F12" s="19">
        <v>0.0</v>
      </c>
      <c r="G12" s="20">
        <v>1.0</v>
      </c>
      <c r="H12" s="16"/>
    </row>
    <row r="13" ht="51.75" customHeight="1">
      <c r="B13" s="16" t="s">
        <v>44</v>
      </c>
      <c r="C13" s="17" t="s">
        <v>45</v>
      </c>
      <c r="D13" s="16" t="s">
        <v>46</v>
      </c>
      <c r="E13" s="18">
        <v>0.0</v>
      </c>
      <c r="F13" s="19">
        <v>0.0</v>
      </c>
      <c r="G13" s="20">
        <v>1.0</v>
      </c>
      <c r="H13" s="16"/>
    </row>
    <row r="14" ht="21.75" customHeight="1">
      <c r="B14" s="23" t="s">
        <v>47</v>
      </c>
      <c r="C14" s="2"/>
      <c r="D14" s="2"/>
      <c r="E14" s="2"/>
      <c r="F14" s="2"/>
      <c r="G14" s="2"/>
      <c r="H14" s="3"/>
    </row>
    <row r="15" ht="51.75" customHeight="1">
      <c r="B15" s="16" t="s">
        <v>48</v>
      </c>
      <c r="C15" s="17" t="s">
        <v>49</v>
      </c>
      <c r="D15" s="16" t="s">
        <v>50</v>
      </c>
      <c r="E15" s="18">
        <v>0.0</v>
      </c>
      <c r="F15" s="19">
        <v>0.0</v>
      </c>
      <c r="G15" s="20">
        <v>0.5</v>
      </c>
      <c r="H15" s="16"/>
    </row>
    <row r="16" ht="51.75" customHeight="1">
      <c r="B16" s="16" t="s">
        <v>51</v>
      </c>
      <c r="C16" s="17" t="s">
        <v>52</v>
      </c>
      <c r="D16" s="16" t="s">
        <v>53</v>
      </c>
      <c r="E16" s="18">
        <v>0.0</v>
      </c>
      <c r="F16" s="19">
        <v>0.0</v>
      </c>
      <c r="G16" s="20">
        <v>0.25</v>
      </c>
      <c r="H16" s="16"/>
    </row>
    <row r="17" ht="25.5" customHeight="1">
      <c r="B17" s="24" t="s">
        <v>54</v>
      </c>
      <c r="C17" s="2"/>
      <c r="D17" s="3"/>
      <c r="E17" s="25">
        <f t="shared" ref="E17:G17" si="1">SUM(E4:E16)</f>
        <v>0</v>
      </c>
      <c r="F17" s="25">
        <f t="shared" si="1"/>
        <v>0</v>
      </c>
      <c r="G17" s="25">
        <f t="shared" si="1"/>
        <v>8.25</v>
      </c>
      <c r="H17" s="2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3:H3"/>
    <mergeCell ref="B7:H7"/>
    <mergeCell ref="B11:H11"/>
    <mergeCell ref="B14:H14"/>
    <mergeCell ref="B17:D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16.71"/>
    <col customWidth="1" min="3" max="3" width="41.14"/>
    <col customWidth="1" min="4" max="4" width="12.0"/>
    <col customWidth="1" min="5" max="5" width="35.14"/>
    <col customWidth="1" min="6" max="6" width="61.14"/>
    <col customWidth="1" min="7" max="7" width="50.71"/>
    <col customWidth="1" min="8" max="8" width="19.71"/>
    <col customWidth="1" min="9" max="9" width="16.0"/>
    <col customWidth="1" min="10" max="10" width="22.0"/>
    <col customWidth="1" min="11" max="27" width="8.71"/>
  </cols>
  <sheetData>
    <row r="1" ht="31.5" customHeight="1">
      <c r="B1" s="27" t="s">
        <v>56</v>
      </c>
      <c r="C1" s="2"/>
      <c r="D1" s="2"/>
      <c r="E1" s="2"/>
      <c r="F1" s="2"/>
      <c r="G1" s="2"/>
      <c r="H1" s="2"/>
      <c r="I1" s="2"/>
      <c r="J1" s="3"/>
    </row>
    <row r="2" ht="39.0" customHeight="1">
      <c r="B2" s="28" t="s">
        <v>57</v>
      </c>
      <c r="C2" s="29" t="s">
        <v>58</v>
      </c>
      <c r="D2" s="28" t="s">
        <v>59</v>
      </c>
      <c r="E2" s="28"/>
      <c r="F2" s="29"/>
      <c r="G2" s="28" t="s">
        <v>60</v>
      </c>
      <c r="H2" s="29"/>
    </row>
    <row r="3" ht="68.25" customHeight="1">
      <c r="B3" s="14" t="s">
        <v>61</v>
      </c>
      <c r="C3" s="14" t="s">
        <v>62</v>
      </c>
      <c r="D3" s="14" t="s">
        <v>63</v>
      </c>
      <c r="E3" s="30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</row>
    <row r="4" ht="19.5" customHeight="1">
      <c r="B4" s="31" t="s">
        <v>70</v>
      </c>
      <c r="C4" s="2"/>
      <c r="D4" s="2"/>
      <c r="E4" s="2"/>
      <c r="F4" s="2"/>
      <c r="G4" s="2"/>
      <c r="H4" s="2"/>
      <c r="I4" s="2"/>
      <c r="J4" s="3"/>
    </row>
    <row r="5" ht="15.75" customHeight="1">
      <c r="B5" s="8" t="s">
        <v>71</v>
      </c>
      <c r="C5" s="2"/>
      <c r="D5" s="3"/>
      <c r="E5" s="32"/>
      <c r="F5" s="33">
        <v>0.0</v>
      </c>
      <c r="G5" s="8" t="s">
        <v>72</v>
      </c>
      <c r="H5" s="3"/>
      <c r="I5" s="33">
        <v>0.0</v>
      </c>
    </row>
    <row r="6" ht="54.75" customHeight="1">
      <c r="B6" s="34" t="s">
        <v>73</v>
      </c>
      <c r="C6" s="34"/>
      <c r="D6" s="34"/>
      <c r="E6" s="34"/>
      <c r="F6" s="34" t="s">
        <v>74</v>
      </c>
      <c r="G6" s="34" t="s">
        <v>74</v>
      </c>
      <c r="H6" s="34" t="s">
        <v>75</v>
      </c>
      <c r="I6" s="34" t="s">
        <v>76</v>
      </c>
      <c r="J6" s="16"/>
    </row>
    <row r="7" ht="54.75" customHeight="1">
      <c r="B7" s="34" t="s">
        <v>77</v>
      </c>
      <c r="C7" s="34"/>
      <c r="D7" s="34"/>
      <c r="E7" s="34"/>
      <c r="F7" s="34" t="s">
        <v>74</v>
      </c>
      <c r="G7" s="34" t="s">
        <v>74</v>
      </c>
      <c r="H7" s="34" t="s">
        <v>75</v>
      </c>
      <c r="I7" s="34" t="s">
        <v>76</v>
      </c>
      <c r="J7" s="16"/>
    </row>
    <row r="8" ht="54.75" customHeight="1">
      <c r="B8" s="34" t="s">
        <v>78</v>
      </c>
      <c r="C8" s="34"/>
      <c r="D8" s="34"/>
      <c r="E8" s="34"/>
      <c r="F8" s="34" t="s">
        <v>74</v>
      </c>
      <c r="G8" s="34" t="s">
        <v>74</v>
      </c>
      <c r="H8" s="34" t="s">
        <v>75</v>
      </c>
      <c r="I8" s="34" t="s">
        <v>76</v>
      </c>
      <c r="J8" s="16"/>
    </row>
    <row r="9" ht="54.75" customHeight="1">
      <c r="B9" s="34" t="s">
        <v>79</v>
      </c>
      <c r="C9" s="34"/>
      <c r="D9" s="34"/>
      <c r="E9" s="34"/>
      <c r="F9" s="34" t="s">
        <v>74</v>
      </c>
      <c r="G9" s="34" t="s">
        <v>74</v>
      </c>
      <c r="H9" s="34" t="s">
        <v>75</v>
      </c>
      <c r="I9" s="34" t="s">
        <v>76</v>
      </c>
      <c r="J9" s="16"/>
    </row>
    <row r="10" ht="54.75" customHeight="1">
      <c r="B10" s="34" t="s">
        <v>80</v>
      </c>
      <c r="C10" s="34"/>
      <c r="D10" s="34"/>
      <c r="E10" s="34"/>
      <c r="F10" s="34" t="s">
        <v>74</v>
      </c>
      <c r="G10" s="34" t="s">
        <v>74</v>
      </c>
      <c r="H10" s="34" t="s">
        <v>75</v>
      </c>
      <c r="I10" s="34" t="s">
        <v>76</v>
      </c>
      <c r="J10" s="16"/>
    </row>
    <row r="11" ht="54.75" customHeight="1">
      <c r="B11" s="34" t="s">
        <v>81</v>
      </c>
      <c r="C11" s="34"/>
      <c r="D11" s="34"/>
      <c r="E11" s="34"/>
      <c r="F11" s="34" t="s">
        <v>74</v>
      </c>
      <c r="G11" s="34" t="s">
        <v>74</v>
      </c>
      <c r="H11" s="34" t="s">
        <v>75</v>
      </c>
      <c r="I11" s="34" t="s">
        <v>76</v>
      </c>
      <c r="J11" s="16"/>
    </row>
    <row r="12" ht="54.75" customHeight="1">
      <c r="B12" s="34" t="s">
        <v>82</v>
      </c>
      <c r="C12" s="34"/>
      <c r="D12" s="34"/>
      <c r="E12" s="34"/>
      <c r="F12" s="34" t="s">
        <v>74</v>
      </c>
      <c r="G12" s="34" t="s">
        <v>74</v>
      </c>
      <c r="H12" s="34" t="s">
        <v>75</v>
      </c>
      <c r="I12" s="34" t="s">
        <v>76</v>
      </c>
      <c r="J12" s="16"/>
    </row>
    <row r="13" ht="54.75" customHeight="1">
      <c r="B13" s="34" t="s">
        <v>83</v>
      </c>
      <c r="C13" s="34"/>
      <c r="D13" s="34"/>
      <c r="E13" s="34"/>
      <c r="F13" s="34" t="s">
        <v>74</v>
      </c>
      <c r="G13" s="34" t="s">
        <v>74</v>
      </c>
      <c r="H13" s="34" t="s">
        <v>75</v>
      </c>
      <c r="I13" s="34" t="s">
        <v>76</v>
      </c>
      <c r="J13" s="16"/>
    </row>
    <row r="14" ht="54.75" customHeight="1">
      <c r="B14" s="34" t="s">
        <v>84</v>
      </c>
      <c r="C14" s="34"/>
      <c r="D14" s="34"/>
      <c r="E14" s="34"/>
      <c r="F14" s="34" t="s">
        <v>74</v>
      </c>
      <c r="G14" s="34" t="s">
        <v>74</v>
      </c>
      <c r="H14" s="34" t="s">
        <v>75</v>
      </c>
      <c r="I14" s="34" t="s">
        <v>76</v>
      </c>
      <c r="J14" s="16"/>
    </row>
    <row r="15" ht="54.75" customHeight="1">
      <c r="B15" s="34" t="s">
        <v>85</v>
      </c>
      <c r="C15" s="34"/>
      <c r="D15" s="34"/>
      <c r="E15" s="34"/>
      <c r="F15" s="34" t="s">
        <v>74</v>
      </c>
      <c r="G15" s="34" t="s">
        <v>74</v>
      </c>
      <c r="H15" s="34" t="s">
        <v>75</v>
      </c>
      <c r="I15" s="34" t="s">
        <v>76</v>
      </c>
      <c r="J15" s="16"/>
    </row>
    <row r="16" ht="19.5" customHeight="1">
      <c r="B16" s="35" t="s">
        <v>86</v>
      </c>
      <c r="C16" s="2"/>
      <c r="D16" s="2"/>
      <c r="E16" s="2"/>
      <c r="F16" s="2"/>
      <c r="G16" s="3"/>
      <c r="H16" s="36">
        <v>0.0</v>
      </c>
      <c r="I16" s="37" t="s">
        <v>87</v>
      </c>
      <c r="J16" s="3"/>
    </row>
    <row r="18" ht="19.5" customHeight="1">
      <c r="B18" s="38" t="s">
        <v>88</v>
      </c>
      <c r="C18" s="2"/>
      <c r="D18" s="2"/>
      <c r="E18" s="2"/>
      <c r="F18" s="2"/>
      <c r="G18" s="2"/>
      <c r="H18" s="2"/>
      <c r="I18" s="2"/>
      <c r="J18" s="3"/>
    </row>
    <row r="19" ht="15.75" customHeight="1">
      <c r="B19" s="10" t="s">
        <v>71</v>
      </c>
      <c r="C19" s="2"/>
      <c r="D19" s="3"/>
      <c r="E19" s="39"/>
      <c r="F19" s="40">
        <v>0.0</v>
      </c>
      <c r="G19" s="10" t="s">
        <v>72</v>
      </c>
      <c r="H19" s="3"/>
      <c r="I19" s="40">
        <v>0.0</v>
      </c>
    </row>
    <row r="20" ht="54.75" customHeight="1">
      <c r="B20" s="41" t="s">
        <v>89</v>
      </c>
      <c r="C20" s="41"/>
      <c r="D20" s="41"/>
      <c r="E20" s="41"/>
      <c r="F20" s="41" t="s">
        <v>74</v>
      </c>
      <c r="G20" s="41" t="s">
        <v>74</v>
      </c>
      <c r="H20" s="41" t="s">
        <v>75</v>
      </c>
      <c r="I20" s="41" t="s">
        <v>90</v>
      </c>
      <c r="J20" s="16"/>
    </row>
    <row r="21" ht="54.75" customHeight="1">
      <c r="B21" s="41" t="s">
        <v>91</v>
      </c>
      <c r="C21" s="41"/>
      <c r="D21" s="41"/>
      <c r="E21" s="41"/>
      <c r="F21" s="41" t="s">
        <v>74</v>
      </c>
      <c r="G21" s="41" t="s">
        <v>74</v>
      </c>
      <c r="H21" s="41" t="s">
        <v>75</v>
      </c>
      <c r="I21" s="41" t="s">
        <v>90</v>
      </c>
      <c r="J21" s="16"/>
    </row>
    <row r="22" ht="54.75" customHeight="1">
      <c r="B22" s="41" t="s">
        <v>92</v>
      </c>
      <c r="C22" s="41"/>
      <c r="D22" s="41"/>
      <c r="E22" s="41"/>
      <c r="F22" s="41" t="s">
        <v>74</v>
      </c>
      <c r="G22" s="41" t="s">
        <v>74</v>
      </c>
      <c r="H22" s="41" t="s">
        <v>75</v>
      </c>
      <c r="I22" s="41" t="s">
        <v>90</v>
      </c>
      <c r="J22" s="16"/>
    </row>
    <row r="23" ht="54.75" customHeight="1">
      <c r="B23" s="41" t="s">
        <v>93</v>
      </c>
      <c r="C23" s="41"/>
      <c r="D23" s="41"/>
      <c r="E23" s="41"/>
      <c r="F23" s="41" t="s">
        <v>74</v>
      </c>
      <c r="G23" s="41" t="s">
        <v>74</v>
      </c>
      <c r="H23" s="41" t="s">
        <v>75</v>
      </c>
      <c r="I23" s="41" t="s">
        <v>90</v>
      </c>
      <c r="J23" s="16"/>
    </row>
    <row r="24" ht="54.75" customHeight="1">
      <c r="B24" s="41" t="s">
        <v>94</v>
      </c>
      <c r="C24" s="41"/>
      <c r="D24" s="41"/>
      <c r="E24" s="41"/>
      <c r="F24" s="41" t="s">
        <v>74</v>
      </c>
      <c r="G24" s="41" t="s">
        <v>74</v>
      </c>
      <c r="H24" s="41" t="s">
        <v>75</v>
      </c>
      <c r="I24" s="41" t="s">
        <v>90</v>
      </c>
      <c r="J24" s="16"/>
    </row>
    <row r="25" ht="54.75" customHeight="1">
      <c r="B25" s="41" t="s">
        <v>95</v>
      </c>
      <c r="C25" s="41"/>
      <c r="D25" s="41"/>
      <c r="E25" s="41"/>
      <c r="F25" s="41" t="s">
        <v>74</v>
      </c>
      <c r="G25" s="41" t="s">
        <v>74</v>
      </c>
      <c r="H25" s="41" t="s">
        <v>75</v>
      </c>
      <c r="I25" s="41" t="s">
        <v>90</v>
      </c>
      <c r="J25" s="16"/>
    </row>
    <row r="26" ht="54.75" customHeight="1">
      <c r="B26" s="41" t="s">
        <v>96</v>
      </c>
      <c r="C26" s="41"/>
      <c r="D26" s="41"/>
      <c r="E26" s="41"/>
      <c r="F26" s="41" t="s">
        <v>74</v>
      </c>
      <c r="G26" s="41" t="s">
        <v>74</v>
      </c>
      <c r="H26" s="41" t="s">
        <v>75</v>
      </c>
      <c r="I26" s="41" t="s">
        <v>90</v>
      </c>
      <c r="J26" s="16"/>
    </row>
    <row r="27" ht="54.75" customHeight="1">
      <c r="B27" s="41" t="s">
        <v>97</v>
      </c>
      <c r="C27" s="41"/>
      <c r="D27" s="41"/>
      <c r="E27" s="41"/>
      <c r="F27" s="41" t="s">
        <v>74</v>
      </c>
      <c r="G27" s="41" t="s">
        <v>74</v>
      </c>
      <c r="H27" s="41" t="s">
        <v>75</v>
      </c>
      <c r="I27" s="41" t="s">
        <v>90</v>
      </c>
      <c r="J27" s="16"/>
    </row>
    <row r="28" ht="54.75" customHeight="1">
      <c r="B28" s="41" t="s">
        <v>98</v>
      </c>
      <c r="C28" s="41"/>
      <c r="D28" s="41"/>
      <c r="E28" s="41"/>
      <c r="F28" s="41" t="s">
        <v>74</v>
      </c>
      <c r="G28" s="41" t="s">
        <v>74</v>
      </c>
      <c r="H28" s="41" t="s">
        <v>75</v>
      </c>
      <c r="I28" s="41" t="s">
        <v>90</v>
      </c>
      <c r="J28" s="16"/>
    </row>
    <row r="29" ht="54.75" customHeight="1">
      <c r="B29" s="41" t="s">
        <v>99</v>
      </c>
      <c r="C29" s="41"/>
      <c r="D29" s="41"/>
      <c r="E29" s="41"/>
      <c r="F29" s="41" t="s">
        <v>74</v>
      </c>
      <c r="G29" s="41" t="s">
        <v>74</v>
      </c>
      <c r="H29" s="41" t="s">
        <v>75</v>
      </c>
      <c r="I29" s="41" t="s">
        <v>90</v>
      </c>
      <c r="J29" s="16"/>
    </row>
    <row r="30" ht="19.5" customHeight="1">
      <c r="B30" s="42" t="s">
        <v>100</v>
      </c>
      <c r="C30" s="2"/>
      <c r="D30" s="2"/>
      <c r="E30" s="2"/>
      <c r="F30" s="2"/>
      <c r="G30" s="3"/>
      <c r="H30" s="43">
        <v>0.0</v>
      </c>
      <c r="I30" s="44" t="s">
        <v>87</v>
      </c>
      <c r="J30" s="3"/>
    </row>
    <row r="31" ht="15.75" customHeight="1"/>
    <row r="32" ht="19.5" customHeight="1">
      <c r="B32" s="22" t="s">
        <v>101</v>
      </c>
      <c r="C32" s="2"/>
      <c r="D32" s="2"/>
      <c r="E32" s="2"/>
      <c r="F32" s="2"/>
      <c r="G32" s="2"/>
      <c r="H32" s="2"/>
      <c r="I32" s="2"/>
      <c r="J32" s="3"/>
    </row>
    <row r="33" ht="15.75" customHeight="1">
      <c r="B33" s="45" t="s">
        <v>102</v>
      </c>
      <c r="C33" s="46"/>
      <c r="D33" s="47"/>
      <c r="E33" s="48"/>
      <c r="F33" s="49">
        <v>0.0</v>
      </c>
      <c r="G33" s="45" t="s">
        <v>103</v>
      </c>
      <c r="H33" s="47"/>
      <c r="I33" s="49">
        <v>0.0</v>
      </c>
    </row>
    <row r="34" ht="54.75" customHeight="1">
      <c r="B34" s="50" t="s">
        <v>104</v>
      </c>
      <c r="C34" s="51" t="s">
        <v>105</v>
      </c>
      <c r="D34" s="50" t="s">
        <v>106</v>
      </c>
      <c r="E34" s="50" t="s">
        <v>107</v>
      </c>
      <c r="F34" s="50" t="s">
        <v>108</v>
      </c>
      <c r="G34" s="50" t="s">
        <v>109</v>
      </c>
      <c r="H34" s="52" t="s">
        <v>110</v>
      </c>
      <c r="I34" s="53" t="s">
        <v>111</v>
      </c>
      <c r="J34" s="54"/>
    </row>
    <row r="35" ht="54.75" customHeight="1">
      <c r="B35" s="50" t="s">
        <v>112</v>
      </c>
      <c r="C35" s="51" t="s">
        <v>113</v>
      </c>
      <c r="D35" s="50" t="s">
        <v>114</v>
      </c>
      <c r="E35" s="50" t="s">
        <v>115</v>
      </c>
      <c r="F35" s="50" t="s">
        <v>116</v>
      </c>
      <c r="G35" s="50" t="s">
        <v>117</v>
      </c>
      <c r="H35" s="52" t="s">
        <v>110</v>
      </c>
      <c r="I35" s="53" t="s">
        <v>111</v>
      </c>
      <c r="J35" s="54"/>
    </row>
    <row r="36" ht="54.75" customHeight="1">
      <c r="B36" s="50" t="s">
        <v>118</v>
      </c>
      <c r="C36" s="51" t="s">
        <v>119</v>
      </c>
      <c r="D36" s="50" t="s">
        <v>114</v>
      </c>
      <c r="E36" s="50" t="s">
        <v>120</v>
      </c>
      <c r="F36" s="50" t="s">
        <v>121</v>
      </c>
      <c r="G36" s="50" t="s">
        <v>122</v>
      </c>
      <c r="H36" s="52" t="s">
        <v>110</v>
      </c>
      <c r="I36" s="53" t="s">
        <v>111</v>
      </c>
      <c r="J36" s="54"/>
    </row>
    <row r="37" ht="54.75" customHeight="1">
      <c r="B37" s="50" t="s">
        <v>123</v>
      </c>
      <c r="C37" s="51" t="s">
        <v>124</v>
      </c>
      <c r="D37" s="50" t="s">
        <v>114</v>
      </c>
      <c r="E37" s="50" t="s">
        <v>125</v>
      </c>
      <c r="F37" s="50" t="s">
        <v>126</v>
      </c>
      <c r="G37" s="50" t="s">
        <v>127</v>
      </c>
      <c r="H37" s="52" t="s">
        <v>110</v>
      </c>
      <c r="I37" s="53" t="s">
        <v>111</v>
      </c>
      <c r="J37" s="54"/>
    </row>
    <row r="38" ht="54.75" customHeight="1">
      <c r="B38" s="50" t="s">
        <v>128</v>
      </c>
      <c r="C38" s="51" t="s">
        <v>129</v>
      </c>
      <c r="D38" s="50" t="s">
        <v>130</v>
      </c>
      <c r="E38" s="50" t="s">
        <v>131</v>
      </c>
      <c r="F38" s="50" t="s">
        <v>132</v>
      </c>
      <c r="G38" s="50" t="s">
        <v>133</v>
      </c>
      <c r="H38" s="55" t="s">
        <v>75</v>
      </c>
      <c r="I38" s="53" t="s">
        <v>111</v>
      </c>
      <c r="J38" s="54"/>
    </row>
    <row r="39" ht="54.75" customHeight="1">
      <c r="B39" s="50" t="s">
        <v>104</v>
      </c>
      <c r="C39" s="51" t="s">
        <v>105</v>
      </c>
      <c r="D39" s="50" t="s">
        <v>106</v>
      </c>
      <c r="E39" s="50" t="s">
        <v>107</v>
      </c>
      <c r="F39" s="50" t="s">
        <v>108</v>
      </c>
      <c r="G39" s="50" t="s">
        <v>109</v>
      </c>
      <c r="H39" s="52" t="s">
        <v>110</v>
      </c>
      <c r="I39" s="53" t="s">
        <v>111</v>
      </c>
      <c r="J39" s="54"/>
    </row>
    <row r="40" ht="54.75" customHeight="1">
      <c r="B40" s="50" t="s">
        <v>112</v>
      </c>
      <c r="C40" s="51" t="s">
        <v>113</v>
      </c>
      <c r="D40" s="50" t="s">
        <v>114</v>
      </c>
      <c r="E40" s="50" t="s">
        <v>115</v>
      </c>
      <c r="F40" s="50" t="s">
        <v>116</v>
      </c>
      <c r="G40" s="50" t="s">
        <v>117</v>
      </c>
      <c r="H40" s="52" t="s">
        <v>110</v>
      </c>
      <c r="I40" s="53" t="s">
        <v>111</v>
      </c>
      <c r="J40" s="54"/>
    </row>
    <row r="41" ht="54.75" customHeight="1">
      <c r="B41" s="50" t="s">
        <v>118</v>
      </c>
      <c r="C41" s="51" t="s">
        <v>119</v>
      </c>
      <c r="D41" s="50" t="s">
        <v>114</v>
      </c>
      <c r="E41" s="50" t="s">
        <v>120</v>
      </c>
      <c r="F41" s="50" t="s">
        <v>121</v>
      </c>
      <c r="G41" s="50" t="s">
        <v>122</v>
      </c>
      <c r="H41" s="52" t="s">
        <v>110</v>
      </c>
      <c r="I41" s="53" t="s">
        <v>111</v>
      </c>
      <c r="J41" s="54"/>
    </row>
    <row r="42" ht="54.75" customHeight="1">
      <c r="B42" s="50" t="s">
        <v>123</v>
      </c>
      <c r="C42" s="51" t="s">
        <v>124</v>
      </c>
      <c r="D42" s="50" t="s">
        <v>114</v>
      </c>
      <c r="E42" s="50" t="s">
        <v>125</v>
      </c>
      <c r="F42" s="50" t="s">
        <v>126</v>
      </c>
      <c r="G42" s="50" t="s">
        <v>127</v>
      </c>
      <c r="H42" s="52" t="s">
        <v>110</v>
      </c>
      <c r="I42" s="53" t="s">
        <v>111</v>
      </c>
      <c r="J42" s="54"/>
    </row>
    <row r="43" ht="54.75" customHeight="1">
      <c r="B43" s="50" t="s">
        <v>128</v>
      </c>
      <c r="C43" s="51" t="s">
        <v>129</v>
      </c>
      <c r="D43" s="50" t="s">
        <v>130</v>
      </c>
      <c r="E43" s="50" t="s">
        <v>131</v>
      </c>
      <c r="F43" s="50" t="s">
        <v>132</v>
      </c>
      <c r="G43" s="50" t="s">
        <v>133</v>
      </c>
      <c r="H43" s="55" t="s">
        <v>75</v>
      </c>
      <c r="I43" s="53" t="s">
        <v>111</v>
      </c>
      <c r="J43" s="54"/>
    </row>
    <row r="44" ht="19.5" customHeight="1">
      <c r="B44" s="56" t="s">
        <v>134</v>
      </c>
      <c r="C44" s="57"/>
      <c r="D44" s="57"/>
      <c r="E44" s="57"/>
      <c r="F44" s="57"/>
      <c r="G44" s="58"/>
      <c r="H44" s="59">
        <v>0.0</v>
      </c>
      <c r="I44" s="60" t="s">
        <v>87</v>
      </c>
      <c r="J44" s="5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G5:H5"/>
    <mergeCell ref="I16:J16"/>
    <mergeCell ref="B5:D5"/>
    <mergeCell ref="B1:J1"/>
    <mergeCell ref="B4:J4"/>
    <mergeCell ref="B16:G16"/>
    <mergeCell ref="B18:J18"/>
    <mergeCell ref="G19:H19"/>
    <mergeCell ref="I30:J30"/>
    <mergeCell ref="G33:H33"/>
    <mergeCell ref="B19:D19"/>
    <mergeCell ref="B33:D33"/>
    <mergeCell ref="B30:G30"/>
    <mergeCell ref="B32:J32"/>
    <mergeCell ref="I44:J44"/>
    <mergeCell ref="B44:G4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14.0"/>
    <col customWidth="1" min="4" max="4" width="12.0"/>
    <col customWidth="1" min="5" max="6" width="28.0"/>
    <col customWidth="1" min="7" max="7" width="9.0"/>
    <col customWidth="1" min="8" max="8" width="16.0"/>
    <col customWidth="1" min="9" max="9" width="22.0"/>
    <col customWidth="1" min="10" max="26" width="8.71"/>
  </cols>
  <sheetData>
    <row r="1" ht="31.5" customHeight="1">
      <c r="B1" s="61" t="s">
        <v>135</v>
      </c>
      <c r="C1" s="2"/>
      <c r="D1" s="2"/>
      <c r="E1" s="2"/>
      <c r="F1" s="2"/>
      <c r="G1" s="2"/>
      <c r="H1" s="2"/>
      <c r="I1" s="3"/>
    </row>
    <row r="2" ht="18.0" customHeight="1">
      <c r="B2" s="28" t="s">
        <v>57</v>
      </c>
      <c r="C2" s="29" t="s">
        <v>58</v>
      </c>
      <c r="D2" s="28" t="s">
        <v>59</v>
      </c>
      <c r="E2" s="29"/>
      <c r="F2" s="28" t="s">
        <v>60</v>
      </c>
      <c r="G2" s="29"/>
    </row>
    <row r="3" ht="21.75" customHeight="1">
      <c r="B3" s="14" t="s">
        <v>61</v>
      </c>
      <c r="C3" s="14" t="s">
        <v>62</v>
      </c>
      <c r="D3" s="14" t="s">
        <v>63</v>
      </c>
      <c r="E3" s="14" t="s">
        <v>65</v>
      </c>
      <c r="F3" s="14" t="s">
        <v>66</v>
      </c>
      <c r="G3" s="14" t="s">
        <v>67</v>
      </c>
      <c r="H3" s="14" t="s">
        <v>68</v>
      </c>
      <c r="I3" s="14" t="s">
        <v>69</v>
      </c>
    </row>
    <row r="4" ht="19.5" customHeight="1">
      <c r="B4" s="15" t="s">
        <v>136</v>
      </c>
      <c r="C4" s="2"/>
      <c r="D4" s="2"/>
      <c r="E4" s="2"/>
      <c r="F4" s="2"/>
      <c r="G4" s="2"/>
      <c r="H4" s="2"/>
      <c r="I4" s="3"/>
    </row>
    <row r="5" ht="15.75" customHeight="1">
      <c r="B5" s="8" t="s">
        <v>71</v>
      </c>
      <c r="C5" s="2"/>
      <c r="D5" s="3"/>
      <c r="E5" s="33">
        <v>0.0</v>
      </c>
      <c r="F5" s="8" t="s">
        <v>72</v>
      </c>
      <c r="G5" s="3"/>
      <c r="H5" s="33">
        <v>0.0</v>
      </c>
    </row>
    <row r="6" ht="54.75" customHeight="1">
      <c r="B6" s="34" t="s">
        <v>73</v>
      </c>
      <c r="C6" s="34"/>
      <c r="D6" s="34"/>
      <c r="E6" s="34" t="s">
        <v>74</v>
      </c>
      <c r="F6" s="34" t="s">
        <v>74</v>
      </c>
      <c r="G6" s="34" t="s">
        <v>75</v>
      </c>
      <c r="H6" s="34" t="s">
        <v>76</v>
      </c>
      <c r="I6" s="16"/>
    </row>
    <row r="7" ht="54.75" customHeight="1">
      <c r="B7" s="34" t="s">
        <v>77</v>
      </c>
      <c r="C7" s="34"/>
      <c r="D7" s="34"/>
      <c r="E7" s="34" t="s">
        <v>74</v>
      </c>
      <c r="F7" s="34" t="s">
        <v>74</v>
      </c>
      <c r="G7" s="34" t="s">
        <v>75</v>
      </c>
      <c r="H7" s="34" t="s">
        <v>76</v>
      </c>
      <c r="I7" s="16"/>
    </row>
    <row r="8" ht="54.75" customHeight="1">
      <c r="B8" s="34" t="s">
        <v>78</v>
      </c>
      <c r="C8" s="34"/>
      <c r="D8" s="34"/>
      <c r="E8" s="34" t="s">
        <v>74</v>
      </c>
      <c r="F8" s="34" t="s">
        <v>74</v>
      </c>
      <c r="G8" s="34" t="s">
        <v>75</v>
      </c>
      <c r="H8" s="34" t="s">
        <v>76</v>
      </c>
      <c r="I8" s="16"/>
    </row>
    <row r="9" ht="54.75" customHeight="1">
      <c r="B9" s="34" t="s">
        <v>79</v>
      </c>
      <c r="C9" s="34"/>
      <c r="D9" s="34"/>
      <c r="E9" s="34" t="s">
        <v>74</v>
      </c>
      <c r="F9" s="34" t="s">
        <v>74</v>
      </c>
      <c r="G9" s="34" t="s">
        <v>75</v>
      </c>
      <c r="H9" s="34" t="s">
        <v>76</v>
      </c>
      <c r="I9" s="16"/>
    </row>
    <row r="10" ht="54.75" customHeight="1">
      <c r="B10" s="34" t="s">
        <v>80</v>
      </c>
      <c r="C10" s="34"/>
      <c r="D10" s="34"/>
      <c r="E10" s="34" t="s">
        <v>74</v>
      </c>
      <c r="F10" s="34" t="s">
        <v>74</v>
      </c>
      <c r="G10" s="34" t="s">
        <v>75</v>
      </c>
      <c r="H10" s="34" t="s">
        <v>76</v>
      </c>
      <c r="I10" s="16"/>
    </row>
    <row r="11" ht="54.75" customHeight="1">
      <c r="B11" s="34" t="s">
        <v>81</v>
      </c>
      <c r="C11" s="34"/>
      <c r="D11" s="34"/>
      <c r="E11" s="34" t="s">
        <v>74</v>
      </c>
      <c r="F11" s="34" t="s">
        <v>74</v>
      </c>
      <c r="G11" s="34" t="s">
        <v>75</v>
      </c>
      <c r="H11" s="34" t="s">
        <v>76</v>
      </c>
      <c r="I11" s="16"/>
    </row>
    <row r="12" ht="54.75" customHeight="1">
      <c r="B12" s="34" t="s">
        <v>82</v>
      </c>
      <c r="C12" s="34"/>
      <c r="D12" s="34"/>
      <c r="E12" s="34" t="s">
        <v>74</v>
      </c>
      <c r="F12" s="34" t="s">
        <v>74</v>
      </c>
      <c r="G12" s="34" t="s">
        <v>75</v>
      </c>
      <c r="H12" s="34" t="s">
        <v>76</v>
      </c>
      <c r="I12" s="16"/>
    </row>
    <row r="13" ht="54.75" customHeight="1">
      <c r="B13" s="34" t="s">
        <v>83</v>
      </c>
      <c r="C13" s="34"/>
      <c r="D13" s="34"/>
      <c r="E13" s="34" t="s">
        <v>74</v>
      </c>
      <c r="F13" s="34" t="s">
        <v>74</v>
      </c>
      <c r="G13" s="34" t="s">
        <v>75</v>
      </c>
      <c r="H13" s="34" t="s">
        <v>76</v>
      </c>
      <c r="I13" s="16"/>
    </row>
    <row r="14" ht="54.75" customHeight="1">
      <c r="B14" s="34" t="s">
        <v>84</v>
      </c>
      <c r="C14" s="34"/>
      <c r="D14" s="34"/>
      <c r="E14" s="34" t="s">
        <v>74</v>
      </c>
      <c r="F14" s="34" t="s">
        <v>74</v>
      </c>
      <c r="G14" s="34" t="s">
        <v>75</v>
      </c>
      <c r="H14" s="34" t="s">
        <v>76</v>
      </c>
      <c r="I14" s="16"/>
    </row>
    <row r="15" ht="54.75" customHeight="1">
      <c r="B15" s="34" t="s">
        <v>85</v>
      </c>
      <c r="C15" s="34"/>
      <c r="D15" s="34"/>
      <c r="E15" s="34" t="s">
        <v>74</v>
      </c>
      <c r="F15" s="34" t="s">
        <v>74</v>
      </c>
      <c r="G15" s="34" t="s">
        <v>75</v>
      </c>
      <c r="H15" s="34" t="s">
        <v>76</v>
      </c>
      <c r="I15" s="16"/>
    </row>
    <row r="16" ht="19.5" customHeight="1">
      <c r="B16" s="35" t="s">
        <v>86</v>
      </c>
      <c r="C16" s="2"/>
      <c r="D16" s="2"/>
      <c r="E16" s="2"/>
      <c r="F16" s="3"/>
      <c r="G16" s="36">
        <v>0.0</v>
      </c>
      <c r="H16" s="37" t="s">
        <v>87</v>
      </c>
      <c r="I16" s="3"/>
    </row>
    <row r="18" ht="19.5" customHeight="1">
      <c r="B18" s="21" t="s">
        <v>137</v>
      </c>
      <c r="C18" s="2"/>
      <c r="D18" s="2"/>
      <c r="E18" s="2"/>
      <c r="F18" s="2"/>
      <c r="G18" s="2"/>
      <c r="H18" s="2"/>
      <c r="I18" s="3"/>
    </row>
    <row r="19" ht="15.75" customHeight="1">
      <c r="B19" s="10" t="s">
        <v>71</v>
      </c>
      <c r="C19" s="2"/>
      <c r="D19" s="3"/>
      <c r="E19" s="40">
        <v>0.0</v>
      </c>
      <c r="F19" s="10" t="s">
        <v>72</v>
      </c>
      <c r="G19" s="3"/>
      <c r="H19" s="40">
        <v>0.0</v>
      </c>
    </row>
    <row r="20" ht="54.75" customHeight="1">
      <c r="B20" s="41" t="s">
        <v>89</v>
      </c>
      <c r="C20" s="41"/>
      <c r="D20" s="41"/>
      <c r="E20" s="41" t="s">
        <v>74</v>
      </c>
      <c r="F20" s="41" t="s">
        <v>74</v>
      </c>
      <c r="G20" s="41" t="s">
        <v>75</v>
      </c>
      <c r="H20" s="41" t="s">
        <v>90</v>
      </c>
      <c r="I20" s="16"/>
    </row>
    <row r="21" ht="54.75" customHeight="1">
      <c r="B21" s="41" t="s">
        <v>91</v>
      </c>
      <c r="C21" s="41"/>
      <c r="D21" s="41"/>
      <c r="E21" s="41" t="s">
        <v>74</v>
      </c>
      <c r="F21" s="41" t="s">
        <v>74</v>
      </c>
      <c r="G21" s="41" t="s">
        <v>75</v>
      </c>
      <c r="H21" s="41" t="s">
        <v>90</v>
      </c>
      <c r="I21" s="16"/>
    </row>
    <row r="22" ht="54.75" customHeight="1">
      <c r="B22" s="41" t="s">
        <v>92</v>
      </c>
      <c r="C22" s="41"/>
      <c r="D22" s="41"/>
      <c r="E22" s="41" t="s">
        <v>74</v>
      </c>
      <c r="F22" s="41" t="s">
        <v>74</v>
      </c>
      <c r="G22" s="41" t="s">
        <v>75</v>
      </c>
      <c r="H22" s="41" t="s">
        <v>90</v>
      </c>
      <c r="I22" s="16"/>
    </row>
    <row r="23" ht="54.75" customHeight="1">
      <c r="B23" s="41" t="s">
        <v>93</v>
      </c>
      <c r="C23" s="41"/>
      <c r="D23" s="41"/>
      <c r="E23" s="41" t="s">
        <v>74</v>
      </c>
      <c r="F23" s="41" t="s">
        <v>74</v>
      </c>
      <c r="G23" s="41" t="s">
        <v>75</v>
      </c>
      <c r="H23" s="41" t="s">
        <v>90</v>
      </c>
      <c r="I23" s="16"/>
    </row>
    <row r="24" ht="54.75" customHeight="1">
      <c r="B24" s="41" t="s">
        <v>94</v>
      </c>
      <c r="C24" s="41"/>
      <c r="D24" s="41"/>
      <c r="E24" s="41" t="s">
        <v>74</v>
      </c>
      <c r="F24" s="41" t="s">
        <v>74</v>
      </c>
      <c r="G24" s="41" t="s">
        <v>75</v>
      </c>
      <c r="H24" s="41" t="s">
        <v>90</v>
      </c>
      <c r="I24" s="16"/>
    </row>
    <row r="25" ht="54.75" customHeight="1">
      <c r="B25" s="41" t="s">
        <v>95</v>
      </c>
      <c r="C25" s="41"/>
      <c r="D25" s="41"/>
      <c r="E25" s="41" t="s">
        <v>74</v>
      </c>
      <c r="F25" s="41" t="s">
        <v>74</v>
      </c>
      <c r="G25" s="41" t="s">
        <v>75</v>
      </c>
      <c r="H25" s="41" t="s">
        <v>90</v>
      </c>
      <c r="I25" s="16"/>
    </row>
    <row r="26" ht="54.75" customHeight="1">
      <c r="B26" s="41" t="s">
        <v>96</v>
      </c>
      <c r="C26" s="41"/>
      <c r="D26" s="41"/>
      <c r="E26" s="41" t="s">
        <v>74</v>
      </c>
      <c r="F26" s="41" t="s">
        <v>74</v>
      </c>
      <c r="G26" s="41" t="s">
        <v>75</v>
      </c>
      <c r="H26" s="41" t="s">
        <v>90</v>
      </c>
      <c r="I26" s="16"/>
    </row>
    <row r="27" ht="54.75" customHeight="1">
      <c r="B27" s="41" t="s">
        <v>97</v>
      </c>
      <c r="C27" s="41"/>
      <c r="D27" s="41"/>
      <c r="E27" s="41" t="s">
        <v>74</v>
      </c>
      <c r="F27" s="41" t="s">
        <v>74</v>
      </c>
      <c r="G27" s="41" t="s">
        <v>75</v>
      </c>
      <c r="H27" s="41" t="s">
        <v>90</v>
      </c>
      <c r="I27" s="16"/>
    </row>
    <row r="28" ht="54.75" customHeight="1">
      <c r="B28" s="41" t="s">
        <v>98</v>
      </c>
      <c r="C28" s="41"/>
      <c r="D28" s="41"/>
      <c r="E28" s="41" t="s">
        <v>74</v>
      </c>
      <c r="F28" s="41" t="s">
        <v>74</v>
      </c>
      <c r="G28" s="41" t="s">
        <v>75</v>
      </c>
      <c r="H28" s="41" t="s">
        <v>90</v>
      </c>
      <c r="I28" s="16"/>
    </row>
    <row r="29" ht="54.75" customHeight="1">
      <c r="B29" s="41" t="s">
        <v>99</v>
      </c>
      <c r="C29" s="41"/>
      <c r="D29" s="41"/>
      <c r="E29" s="41" t="s">
        <v>74</v>
      </c>
      <c r="F29" s="41" t="s">
        <v>74</v>
      </c>
      <c r="G29" s="41" t="s">
        <v>75</v>
      </c>
      <c r="H29" s="41" t="s">
        <v>90</v>
      </c>
      <c r="I29" s="16"/>
    </row>
    <row r="30" ht="19.5" customHeight="1">
      <c r="B30" s="42" t="s">
        <v>100</v>
      </c>
      <c r="C30" s="2"/>
      <c r="D30" s="2"/>
      <c r="E30" s="2"/>
      <c r="F30" s="3"/>
      <c r="G30" s="43">
        <v>0.0</v>
      </c>
      <c r="H30" s="44" t="s">
        <v>87</v>
      </c>
      <c r="I30" s="3"/>
    </row>
    <row r="31" ht="15.75" customHeight="1"/>
    <row r="32" ht="19.5" customHeight="1">
      <c r="B32" s="22" t="s">
        <v>101</v>
      </c>
      <c r="C32" s="2"/>
      <c r="D32" s="2"/>
      <c r="E32" s="2"/>
      <c r="F32" s="2"/>
      <c r="G32" s="2"/>
      <c r="H32" s="2"/>
      <c r="I32" s="3"/>
    </row>
    <row r="33" ht="15.75" customHeight="1">
      <c r="B33" s="12" t="s">
        <v>71</v>
      </c>
      <c r="C33" s="2"/>
      <c r="D33" s="3"/>
      <c r="E33" s="62">
        <v>0.0</v>
      </c>
      <c r="F33" s="12" t="s">
        <v>72</v>
      </c>
      <c r="G33" s="3"/>
      <c r="H33" s="62">
        <v>0.0</v>
      </c>
    </row>
    <row r="34" ht="54.75" customHeight="1">
      <c r="B34" s="63" t="s">
        <v>138</v>
      </c>
      <c r="C34" s="63"/>
      <c r="D34" s="63"/>
      <c r="E34" s="63" t="s">
        <v>74</v>
      </c>
      <c r="F34" s="63" t="s">
        <v>74</v>
      </c>
      <c r="G34" s="63" t="s">
        <v>75</v>
      </c>
      <c r="H34" s="63" t="s">
        <v>111</v>
      </c>
      <c r="I34" s="16"/>
    </row>
    <row r="35" ht="54.75" customHeight="1">
      <c r="B35" s="63" t="s">
        <v>139</v>
      </c>
      <c r="C35" s="63"/>
      <c r="D35" s="63"/>
      <c r="E35" s="63" t="s">
        <v>74</v>
      </c>
      <c r="F35" s="63" t="s">
        <v>74</v>
      </c>
      <c r="G35" s="63" t="s">
        <v>75</v>
      </c>
      <c r="H35" s="63" t="s">
        <v>111</v>
      </c>
      <c r="I35" s="16"/>
    </row>
    <row r="36" ht="54.75" customHeight="1">
      <c r="B36" s="63" t="s">
        <v>140</v>
      </c>
      <c r="C36" s="63"/>
      <c r="D36" s="63"/>
      <c r="E36" s="63" t="s">
        <v>74</v>
      </c>
      <c r="F36" s="63" t="s">
        <v>74</v>
      </c>
      <c r="G36" s="63" t="s">
        <v>75</v>
      </c>
      <c r="H36" s="63" t="s">
        <v>111</v>
      </c>
      <c r="I36" s="16"/>
    </row>
    <row r="37" ht="54.75" customHeight="1">
      <c r="B37" s="63" t="s">
        <v>141</v>
      </c>
      <c r="C37" s="63"/>
      <c r="D37" s="63"/>
      <c r="E37" s="63" t="s">
        <v>74</v>
      </c>
      <c r="F37" s="63" t="s">
        <v>74</v>
      </c>
      <c r="G37" s="63" t="s">
        <v>75</v>
      </c>
      <c r="H37" s="63" t="s">
        <v>111</v>
      </c>
      <c r="I37" s="16"/>
    </row>
    <row r="38" ht="54.75" customHeight="1">
      <c r="B38" s="63" t="s">
        <v>142</v>
      </c>
      <c r="C38" s="63"/>
      <c r="D38" s="63"/>
      <c r="E38" s="63" t="s">
        <v>74</v>
      </c>
      <c r="F38" s="63" t="s">
        <v>74</v>
      </c>
      <c r="G38" s="63" t="s">
        <v>75</v>
      </c>
      <c r="H38" s="63" t="s">
        <v>111</v>
      </c>
      <c r="I38" s="16"/>
    </row>
    <row r="39" ht="54.75" customHeight="1">
      <c r="B39" s="63" t="s">
        <v>143</v>
      </c>
      <c r="C39" s="63"/>
      <c r="D39" s="63"/>
      <c r="E39" s="63" t="s">
        <v>74</v>
      </c>
      <c r="F39" s="63" t="s">
        <v>74</v>
      </c>
      <c r="G39" s="63" t="s">
        <v>75</v>
      </c>
      <c r="H39" s="63" t="s">
        <v>111</v>
      </c>
      <c r="I39" s="16"/>
    </row>
    <row r="40" ht="54.75" customHeight="1">
      <c r="B40" s="63" t="s">
        <v>144</v>
      </c>
      <c r="C40" s="63"/>
      <c r="D40" s="63"/>
      <c r="E40" s="63" t="s">
        <v>74</v>
      </c>
      <c r="F40" s="63" t="s">
        <v>74</v>
      </c>
      <c r="G40" s="63" t="s">
        <v>75</v>
      </c>
      <c r="H40" s="63" t="s">
        <v>111</v>
      </c>
      <c r="I40" s="16"/>
    </row>
    <row r="41" ht="54.75" customHeight="1">
      <c r="B41" s="63" t="s">
        <v>145</v>
      </c>
      <c r="C41" s="63"/>
      <c r="D41" s="63"/>
      <c r="E41" s="63" t="s">
        <v>74</v>
      </c>
      <c r="F41" s="63" t="s">
        <v>74</v>
      </c>
      <c r="G41" s="63" t="s">
        <v>75</v>
      </c>
      <c r="H41" s="63" t="s">
        <v>111</v>
      </c>
      <c r="I41" s="16"/>
    </row>
    <row r="42" ht="54.75" customHeight="1">
      <c r="B42" s="63" t="s">
        <v>146</v>
      </c>
      <c r="C42" s="63"/>
      <c r="D42" s="63"/>
      <c r="E42" s="63" t="s">
        <v>74</v>
      </c>
      <c r="F42" s="63" t="s">
        <v>74</v>
      </c>
      <c r="G42" s="63" t="s">
        <v>75</v>
      </c>
      <c r="H42" s="63" t="s">
        <v>111</v>
      </c>
      <c r="I42" s="16"/>
    </row>
    <row r="43" ht="54.75" customHeight="1">
      <c r="B43" s="63" t="s">
        <v>147</v>
      </c>
      <c r="C43" s="63"/>
      <c r="D43" s="63"/>
      <c r="E43" s="63" t="s">
        <v>74</v>
      </c>
      <c r="F43" s="63" t="s">
        <v>74</v>
      </c>
      <c r="G43" s="63" t="s">
        <v>75</v>
      </c>
      <c r="H43" s="63" t="s">
        <v>111</v>
      </c>
      <c r="I43" s="16"/>
    </row>
    <row r="44" ht="19.5" customHeight="1">
      <c r="B44" s="64" t="s">
        <v>134</v>
      </c>
      <c r="C44" s="2"/>
      <c r="D44" s="2"/>
      <c r="E44" s="2"/>
      <c r="F44" s="3"/>
      <c r="G44" s="65">
        <v>0.0</v>
      </c>
      <c r="H44" s="66" t="s">
        <v>87</v>
      </c>
      <c r="I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I1"/>
    <mergeCell ref="B4:I4"/>
    <mergeCell ref="B5:D5"/>
    <mergeCell ref="F5:G5"/>
    <mergeCell ref="B16:F16"/>
    <mergeCell ref="H16:I16"/>
    <mergeCell ref="B18:I18"/>
    <mergeCell ref="B44:F44"/>
    <mergeCell ref="H44:I44"/>
    <mergeCell ref="B19:D19"/>
    <mergeCell ref="F19:G19"/>
    <mergeCell ref="B30:F30"/>
    <mergeCell ref="H30:I30"/>
    <mergeCell ref="B32:I32"/>
    <mergeCell ref="B33:D33"/>
    <mergeCell ref="F33:G3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14.0"/>
    <col customWidth="1" min="4" max="4" width="12.0"/>
    <col customWidth="1" min="5" max="6" width="28.0"/>
    <col customWidth="1" min="7" max="7" width="9.0"/>
    <col customWidth="1" min="8" max="8" width="16.0"/>
    <col customWidth="1" min="9" max="9" width="22.0"/>
    <col customWidth="1" min="10" max="26" width="8.71"/>
  </cols>
  <sheetData>
    <row r="1" ht="31.5" customHeight="1">
      <c r="B1" s="61" t="s">
        <v>148</v>
      </c>
      <c r="C1" s="2"/>
      <c r="D1" s="2"/>
      <c r="E1" s="2"/>
      <c r="F1" s="2"/>
      <c r="G1" s="2"/>
      <c r="H1" s="2"/>
      <c r="I1" s="3"/>
    </row>
    <row r="2" ht="18.0" customHeight="1">
      <c r="B2" s="28" t="s">
        <v>57</v>
      </c>
      <c r="C2" s="29" t="s">
        <v>58</v>
      </c>
      <c r="D2" s="28" t="s">
        <v>59</v>
      </c>
      <c r="E2" s="29"/>
      <c r="F2" s="28" t="s">
        <v>60</v>
      </c>
      <c r="G2" s="29"/>
    </row>
    <row r="3" ht="21.75" customHeight="1">
      <c r="B3" s="14" t="s">
        <v>61</v>
      </c>
      <c r="C3" s="14" t="s">
        <v>62</v>
      </c>
      <c r="D3" s="14" t="s">
        <v>63</v>
      </c>
      <c r="E3" s="14" t="s">
        <v>65</v>
      </c>
      <c r="F3" s="14" t="s">
        <v>66</v>
      </c>
      <c r="G3" s="14" t="s">
        <v>67</v>
      </c>
      <c r="H3" s="14" t="s">
        <v>68</v>
      </c>
      <c r="I3" s="14" t="s">
        <v>69</v>
      </c>
    </row>
    <row r="4" ht="19.5" customHeight="1">
      <c r="B4" s="15" t="s">
        <v>136</v>
      </c>
      <c r="C4" s="2"/>
      <c r="D4" s="2"/>
      <c r="E4" s="2"/>
      <c r="F4" s="2"/>
      <c r="G4" s="2"/>
      <c r="H4" s="2"/>
      <c r="I4" s="3"/>
    </row>
    <row r="5" ht="15.75" customHeight="1">
      <c r="B5" s="8" t="s">
        <v>71</v>
      </c>
      <c r="C5" s="2"/>
      <c r="D5" s="3"/>
      <c r="E5" s="33">
        <v>0.0</v>
      </c>
      <c r="F5" s="8" t="s">
        <v>72</v>
      </c>
      <c r="G5" s="3"/>
      <c r="H5" s="33">
        <v>0.0</v>
      </c>
    </row>
    <row r="6" ht="54.75" customHeight="1">
      <c r="B6" s="34" t="s">
        <v>73</v>
      </c>
      <c r="C6" s="34"/>
      <c r="D6" s="34"/>
      <c r="E6" s="34" t="s">
        <v>74</v>
      </c>
      <c r="F6" s="34" t="s">
        <v>74</v>
      </c>
      <c r="G6" s="34" t="s">
        <v>75</v>
      </c>
      <c r="H6" s="34" t="s">
        <v>76</v>
      </c>
      <c r="I6" s="16"/>
    </row>
    <row r="7" ht="54.75" customHeight="1">
      <c r="B7" s="34" t="s">
        <v>77</v>
      </c>
      <c r="C7" s="34"/>
      <c r="D7" s="34"/>
      <c r="E7" s="34" t="s">
        <v>74</v>
      </c>
      <c r="F7" s="34" t="s">
        <v>74</v>
      </c>
      <c r="G7" s="34" t="s">
        <v>75</v>
      </c>
      <c r="H7" s="34" t="s">
        <v>76</v>
      </c>
      <c r="I7" s="16"/>
    </row>
    <row r="8" ht="54.75" customHeight="1">
      <c r="B8" s="34" t="s">
        <v>78</v>
      </c>
      <c r="C8" s="34"/>
      <c r="D8" s="34"/>
      <c r="E8" s="34" t="s">
        <v>74</v>
      </c>
      <c r="F8" s="34" t="s">
        <v>74</v>
      </c>
      <c r="G8" s="34" t="s">
        <v>75</v>
      </c>
      <c r="H8" s="34" t="s">
        <v>76</v>
      </c>
      <c r="I8" s="16"/>
    </row>
    <row r="9" ht="54.75" customHeight="1">
      <c r="B9" s="34" t="s">
        <v>79</v>
      </c>
      <c r="C9" s="34"/>
      <c r="D9" s="34"/>
      <c r="E9" s="34" t="s">
        <v>74</v>
      </c>
      <c r="F9" s="34" t="s">
        <v>74</v>
      </c>
      <c r="G9" s="34" t="s">
        <v>75</v>
      </c>
      <c r="H9" s="34" t="s">
        <v>76</v>
      </c>
      <c r="I9" s="16"/>
    </row>
    <row r="10" ht="54.75" customHeight="1">
      <c r="B10" s="34" t="s">
        <v>80</v>
      </c>
      <c r="C10" s="34"/>
      <c r="D10" s="34"/>
      <c r="E10" s="34" t="s">
        <v>74</v>
      </c>
      <c r="F10" s="34" t="s">
        <v>74</v>
      </c>
      <c r="G10" s="34" t="s">
        <v>75</v>
      </c>
      <c r="H10" s="34" t="s">
        <v>76</v>
      </c>
      <c r="I10" s="16"/>
    </row>
    <row r="11" ht="54.75" customHeight="1">
      <c r="B11" s="34" t="s">
        <v>81</v>
      </c>
      <c r="C11" s="34"/>
      <c r="D11" s="34"/>
      <c r="E11" s="34" t="s">
        <v>74</v>
      </c>
      <c r="F11" s="34" t="s">
        <v>74</v>
      </c>
      <c r="G11" s="34" t="s">
        <v>75</v>
      </c>
      <c r="H11" s="34" t="s">
        <v>76</v>
      </c>
      <c r="I11" s="16"/>
    </row>
    <row r="12" ht="54.75" customHeight="1">
      <c r="B12" s="34" t="s">
        <v>82</v>
      </c>
      <c r="C12" s="34"/>
      <c r="D12" s="34"/>
      <c r="E12" s="34" t="s">
        <v>74</v>
      </c>
      <c r="F12" s="34" t="s">
        <v>74</v>
      </c>
      <c r="G12" s="34" t="s">
        <v>75</v>
      </c>
      <c r="H12" s="34" t="s">
        <v>76</v>
      </c>
      <c r="I12" s="16"/>
    </row>
    <row r="13" ht="54.75" customHeight="1">
      <c r="B13" s="34" t="s">
        <v>83</v>
      </c>
      <c r="C13" s="34"/>
      <c r="D13" s="34"/>
      <c r="E13" s="34" t="s">
        <v>74</v>
      </c>
      <c r="F13" s="34" t="s">
        <v>74</v>
      </c>
      <c r="G13" s="34" t="s">
        <v>75</v>
      </c>
      <c r="H13" s="34" t="s">
        <v>76</v>
      </c>
      <c r="I13" s="16"/>
    </row>
    <row r="14" ht="54.75" customHeight="1">
      <c r="B14" s="34" t="s">
        <v>84</v>
      </c>
      <c r="C14" s="34"/>
      <c r="D14" s="34"/>
      <c r="E14" s="34" t="s">
        <v>74</v>
      </c>
      <c r="F14" s="34" t="s">
        <v>74</v>
      </c>
      <c r="G14" s="34" t="s">
        <v>75</v>
      </c>
      <c r="H14" s="34" t="s">
        <v>76</v>
      </c>
      <c r="I14" s="16"/>
    </row>
    <row r="15" ht="54.75" customHeight="1">
      <c r="B15" s="34" t="s">
        <v>85</v>
      </c>
      <c r="C15" s="34"/>
      <c r="D15" s="34"/>
      <c r="E15" s="34" t="s">
        <v>74</v>
      </c>
      <c r="F15" s="34" t="s">
        <v>74</v>
      </c>
      <c r="G15" s="34" t="s">
        <v>75</v>
      </c>
      <c r="H15" s="34" t="s">
        <v>76</v>
      </c>
      <c r="I15" s="16"/>
    </row>
    <row r="16" ht="19.5" customHeight="1">
      <c r="B16" s="35" t="s">
        <v>86</v>
      </c>
      <c r="C16" s="2"/>
      <c r="D16" s="2"/>
      <c r="E16" s="2"/>
      <c r="F16" s="3"/>
      <c r="G16" s="36">
        <v>0.0</v>
      </c>
      <c r="H16" s="37" t="s">
        <v>87</v>
      </c>
      <c r="I16" s="3"/>
    </row>
    <row r="18" ht="19.5" customHeight="1">
      <c r="B18" s="21" t="s">
        <v>137</v>
      </c>
      <c r="C18" s="2"/>
      <c r="D18" s="2"/>
      <c r="E18" s="2"/>
      <c r="F18" s="2"/>
      <c r="G18" s="2"/>
      <c r="H18" s="2"/>
      <c r="I18" s="3"/>
    </row>
    <row r="19" ht="15.75" customHeight="1">
      <c r="B19" s="10" t="s">
        <v>71</v>
      </c>
      <c r="C19" s="2"/>
      <c r="D19" s="3"/>
      <c r="E19" s="40">
        <v>0.0</v>
      </c>
      <c r="F19" s="10" t="s">
        <v>72</v>
      </c>
      <c r="G19" s="3"/>
      <c r="H19" s="40">
        <v>0.0</v>
      </c>
    </row>
    <row r="20" ht="54.75" customHeight="1">
      <c r="B20" s="41" t="s">
        <v>89</v>
      </c>
      <c r="C20" s="41"/>
      <c r="D20" s="41"/>
      <c r="E20" s="41" t="s">
        <v>74</v>
      </c>
      <c r="F20" s="41" t="s">
        <v>74</v>
      </c>
      <c r="G20" s="41" t="s">
        <v>75</v>
      </c>
      <c r="H20" s="41" t="s">
        <v>90</v>
      </c>
      <c r="I20" s="16"/>
    </row>
    <row r="21" ht="54.75" customHeight="1">
      <c r="B21" s="41" t="s">
        <v>91</v>
      </c>
      <c r="C21" s="41"/>
      <c r="D21" s="41"/>
      <c r="E21" s="41" t="s">
        <v>74</v>
      </c>
      <c r="F21" s="41" t="s">
        <v>74</v>
      </c>
      <c r="G21" s="41" t="s">
        <v>75</v>
      </c>
      <c r="H21" s="41" t="s">
        <v>90</v>
      </c>
      <c r="I21" s="16"/>
    </row>
    <row r="22" ht="54.75" customHeight="1">
      <c r="B22" s="41" t="s">
        <v>92</v>
      </c>
      <c r="C22" s="41"/>
      <c r="D22" s="41"/>
      <c r="E22" s="41" t="s">
        <v>74</v>
      </c>
      <c r="F22" s="41" t="s">
        <v>74</v>
      </c>
      <c r="G22" s="41" t="s">
        <v>75</v>
      </c>
      <c r="H22" s="41" t="s">
        <v>90</v>
      </c>
      <c r="I22" s="16"/>
    </row>
    <row r="23" ht="54.75" customHeight="1">
      <c r="B23" s="41" t="s">
        <v>93</v>
      </c>
      <c r="C23" s="41"/>
      <c r="D23" s="41"/>
      <c r="E23" s="41" t="s">
        <v>74</v>
      </c>
      <c r="F23" s="41" t="s">
        <v>74</v>
      </c>
      <c r="G23" s="41" t="s">
        <v>75</v>
      </c>
      <c r="H23" s="41" t="s">
        <v>90</v>
      </c>
      <c r="I23" s="16"/>
    </row>
    <row r="24" ht="54.75" customHeight="1">
      <c r="B24" s="41" t="s">
        <v>94</v>
      </c>
      <c r="C24" s="41"/>
      <c r="D24" s="41"/>
      <c r="E24" s="41" t="s">
        <v>74</v>
      </c>
      <c r="F24" s="41" t="s">
        <v>74</v>
      </c>
      <c r="G24" s="41" t="s">
        <v>75</v>
      </c>
      <c r="H24" s="41" t="s">
        <v>90</v>
      </c>
      <c r="I24" s="16"/>
    </row>
    <row r="25" ht="54.75" customHeight="1">
      <c r="B25" s="41" t="s">
        <v>95</v>
      </c>
      <c r="C25" s="41"/>
      <c r="D25" s="41"/>
      <c r="E25" s="41" t="s">
        <v>74</v>
      </c>
      <c r="F25" s="41" t="s">
        <v>74</v>
      </c>
      <c r="G25" s="41" t="s">
        <v>75</v>
      </c>
      <c r="H25" s="41" t="s">
        <v>90</v>
      </c>
      <c r="I25" s="16"/>
    </row>
    <row r="26" ht="54.75" customHeight="1">
      <c r="B26" s="41" t="s">
        <v>96</v>
      </c>
      <c r="C26" s="41"/>
      <c r="D26" s="41"/>
      <c r="E26" s="41" t="s">
        <v>74</v>
      </c>
      <c r="F26" s="41" t="s">
        <v>74</v>
      </c>
      <c r="G26" s="41" t="s">
        <v>75</v>
      </c>
      <c r="H26" s="41" t="s">
        <v>90</v>
      </c>
      <c r="I26" s="16"/>
    </row>
    <row r="27" ht="54.75" customHeight="1">
      <c r="B27" s="41" t="s">
        <v>97</v>
      </c>
      <c r="C27" s="41"/>
      <c r="D27" s="41"/>
      <c r="E27" s="41" t="s">
        <v>74</v>
      </c>
      <c r="F27" s="41" t="s">
        <v>74</v>
      </c>
      <c r="G27" s="41" t="s">
        <v>75</v>
      </c>
      <c r="H27" s="41" t="s">
        <v>90</v>
      </c>
      <c r="I27" s="16"/>
    </row>
    <row r="28" ht="54.75" customHeight="1">
      <c r="B28" s="41" t="s">
        <v>98</v>
      </c>
      <c r="C28" s="41"/>
      <c r="D28" s="41"/>
      <c r="E28" s="41" t="s">
        <v>74</v>
      </c>
      <c r="F28" s="41" t="s">
        <v>74</v>
      </c>
      <c r="G28" s="41" t="s">
        <v>75</v>
      </c>
      <c r="H28" s="41" t="s">
        <v>90</v>
      </c>
      <c r="I28" s="16"/>
    </row>
    <row r="29" ht="54.75" customHeight="1">
      <c r="B29" s="41" t="s">
        <v>99</v>
      </c>
      <c r="C29" s="41"/>
      <c r="D29" s="41"/>
      <c r="E29" s="41" t="s">
        <v>74</v>
      </c>
      <c r="F29" s="41" t="s">
        <v>74</v>
      </c>
      <c r="G29" s="41" t="s">
        <v>75</v>
      </c>
      <c r="H29" s="41" t="s">
        <v>90</v>
      </c>
      <c r="I29" s="16"/>
    </row>
    <row r="30" ht="19.5" customHeight="1">
      <c r="B30" s="42" t="s">
        <v>100</v>
      </c>
      <c r="C30" s="2"/>
      <c r="D30" s="2"/>
      <c r="E30" s="2"/>
      <c r="F30" s="3"/>
      <c r="G30" s="43">
        <v>0.0</v>
      </c>
      <c r="H30" s="44" t="s">
        <v>87</v>
      </c>
      <c r="I30" s="3"/>
    </row>
    <row r="31" ht="15.75" customHeight="1"/>
    <row r="32" ht="19.5" customHeight="1">
      <c r="B32" s="22" t="s">
        <v>101</v>
      </c>
      <c r="C32" s="2"/>
      <c r="D32" s="2"/>
      <c r="E32" s="2"/>
      <c r="F32" s="2"/>
      <c r="G32" s="2"/>
      <c r="H32" s="2"/>
      <c r="I32" s="3"/>
    </row>
    <row r="33" ht="15.75" customHeight="1">
      <c r="B33" s="12" t="s">
        <v>71</v>
      </c>
      <c r="C33" s="2"/>
      <c r="D33" s="3"/>
      <c r="E33" s="62">
        <v>0.0</v>
      </c>
      <c r="F33" s="12" t="s">
        <v>72</v>
      </c>
      <c r="G33" s="3"/>
      <c r="H33" s="62">
        <v>0.0</v>
      </c>
    </row>
    <row r="34" ht="54.75" customHeight="1">
      <c r="B34" s="63" t="s">
        <v>138</v>
      </c>
      <c r="C34" s="63"/>
      <c r="D34" s="63"/>
      <c r="E34" s="63" t="s">
        <v>74</v>
      </c>
      <c r="F34" s="63" t="s">
        <v>74</v>
      </c>
      <c r="G34" s="63" t="s">
        <v>75</v>
      </c>
      <c r="H34" s="63" t="s">
        <v>111</v>
      </c>
      <c r="I34" s="16"/>
    </row>
    <row r="35" ht="54.75" customHeight="1">
      <c r="B35" s="63" t="s">
        <v>139</v>
      </c>
      <c r="C35" s="63"/>
      <c r="D35" s="63"/>
      <c r="E35" s="63" t="s">
        <v>74</v>
      </c>
      <c r="F35" s="63" t="s">
        <v>74</v>
      </c>
      <c r="G35" s="63" t="s">
        <v>75</v>
      </c>
      <c r="H35" s="63" t="s">
        <v>111</v>
      </c>
      <c r="I35" s="16"/>
    </row>
    <row r="36" ht="54.75" customHeight="1">
      <c r="B36" s="63" t="s">
        <v>140</v>
      </c>
      <c r="C36" s="63"/>
      <c r="D36" s="63"/>
      <c r="E36" s="63" t="s">
        <v>74</v>
      </c>
      <c r="F36" s="63" t="s">
        <v>74</v>
      </c>
      <c r="G36" s="63" t="s">
        <v>75</v>
      </c>
      <c r="H36" s="63" t="s">
        <v>111</v>
      </c>
      <c r="I36" s="16"/>
    </row>
    <row r="37" ht="54.75" customHeight="1">
      <c r="B37" s="63" t="s">
        <v>141</v>
      </c>
      <c r="C37" s="63"/>
      <c r="D37" s="63"/>
      <c r="E37" s="63" t="s">
        <v>74</v>
      </c>
      <c r="F37" s="63" t="s">
        <v>74</v>
      </c>
      <c r="G37" s="63" t="s">
        <v>75</v>
      </c>
      <c r="H37" s="63" t="s">
        <v>111</v>
      </c>
      <c r="I37" s="16"/>
    </row>
    <row r="38" ht="54.75" customHeight="1">
      <c r="B38" s="63" t="s">
        <v>142</v>
      </c>
      <c r="C38" s="63"/>
      <c r="D38" s="63"/>
      <c r="E38" s="63" t="s">
        <v>74</v>
      </c>
      <c r="F38" s="63" t="s">
        <v>74</v>
      </c>
      <c r="G38" s="63" t="s">
        <v>75</v>
      </c>
      <c r="H38" s="63" t="s">
        <v>111</v>
      </c>
      <c r="I38" s="16"/>
    </row>
    <row r="39" ht="54.75" customHeight="1">
      <c r="B39" s="63" t="s">
        <v>143</v>
      </c>
      <c r="C39" s="63"/>
      <c r="D39" s="63"/>
      <c r="E39" s="63" t="s">
        <v>74</v>
      </c>
      <c r="F39" s="63" t="s">
        <v>74</v>
      </c>
      <c r="G39" s="63" t="s">
        <v>75</v>
      </c>
      <c r="H39" s="63" t="s">
        <v>111</v>
      </c>
      <c r="I39" s="16"/>
    </row>
    <row r="40" ht="54.75" customHeight="1">
      <c r="B40" s="63" t="s">
        <v>144</v>
      </c>
      <c r="C40" s="63"/>
      <c r="D40" s="63"/>
      <c r="E40" s="63" t="s">
        <v>74</v>
      </c>
      <c r="F40" s="63" t="s">
        <v>74</v>
      </c>
      <c r="G40" s="63" t="s">
        <v>75</v>
      </c>
      <c r="H40" s="63" t="s">
        <v>111</v>
      </c>
      <c r="I40" s="16"/>
    </row>
    <row r="41" ht="54.75" customHeight="1">
      <c r="B41" s="63" t="s">
        <v>145</v>
      </c>
      <c r="C41" s="63"/>
      <c r="D41" s="63"/>
      <c r="E41" s="63" t="s">
        <v>74</v>
      </c>
      <c r="F41" s="63" t="s">
        <v>74</v>
      </c>
      <c r="G41" s="63" t="s">
        <v>75</v>
      </c>
      <c r="H41" s="63" t="s">
        <v>111</v>
      </c>
      <c r="I41" s="16"/>
    </row>
    <row r="42" ht="54.75" customHeight="1">
      <c r="B42" s="63" t="s">
        <v>146</v>
      </c>
      <c r="C42" s="63"/>
      <c r="D42" s="63"/>
      <c r="E42" s="63" t="s">
        <v>74</v>
      </c>
      <c r="F42" s="63" t="s">
        <v>74</v>
      </c>
      <c r="G42" s="63" t="s">
        <v>75</v>
      </c>
      <c r="H42" s="63" t="s">
        <v>111</v>
      </c>
      <c r="I42" s="16"/>
    </row>
    <row r="43" ht="54.75" customHeight="1">
      <c r="B43" s="63" t="s">
        <v>147</v>
      </c>
      <c r="C43" s="63"/>
      <c r="D43" s="63"/>
      <c r="E43" s="63" t="s">
        <v>74</v>
      </c>
      <c r="F43" s="63" t="s">
        <v>74</v>
      </c>
      <c r="G43" s="63" t="s">
        <v>75</v>
      </c>
      <c r="H43" s="63" t="s">
        <v>111</v>
      </c>
      <c r="I43" s="16"/>
    </row>
    <row r="44" ht="19.5" customHeight="1">
      <c r="B44" s="64" t="s">
        <v>134</v>
      </c>
      <c r="C44" s="2"/>
      <c r="D44" s="2"/>
      <c r="E44" s="2"/>
      <c r="F44" s="3"/>
      <c r="G44" s="65">
        <v>0.0</v>
      </c>
      <c r="H44" s="66" t="s">
        <v>87</v>
      </c>
      <c r="I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I1"/>
    <mergeCell ref="B4:I4"/>
    <mergeCell ref="B5:D5"/>
    <mergeCell ref="F5:G5"/>
    <mergeCell ref="B16:F16"/>
    <mergeCell ref="H16:I16"/>
    <mergeCell ref="B18:I18"/>
    <mergeCell ref="B44:F44"/>
    <mergeCell ref="H44:I44"/>
    <mergeCell ref="B19:D19"/>
    <mergeCell ref="F19:G19"/>
    <mergeCell ref="B30:F30"/>
    <mergeCell ref="H30:I30"/>
    <mergeCell ref="B32:I32"/>
    <mergeCell ref="B33:D33"/>
    <mergeCell ref="F33:G3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2" width="28.0"/>
    <col customWidth="1" min="3" max="5" width="12.0"/>
    <col customWidth="1" min="6" max="8" width="14.0"/>
    <col customWidth="1" min="9" max="9" width="18.0"/>
    <col customWidth="1" min="10" max="26" width="8.71"/>
  </cols>
  <sheetData>
    <row r="1" ht="36.0" customHeight="1">
      <c r="A1" s="1" t="s">
        <v>149</v>
      </c>
      <c r="B1" s="2"/>
      <c r="C1" s="2"/>
      <c r="D1" s="2"/>
      <c r="E1" s="2"/>
      <c r="F1" s="2"/>
      <c r="G1" s="2"/>
      <c r="H1" s="2"/>
      <c r="I1" s="3"/>
    </row>
    <row r="2" ht="39.75" customHeight="1">
      <c r="A2" s="14" t="s">
        <v>13</v>
      </c>
      <c r="B2" s="14" t="s">
        <v>150</v>
      </c>
      <c r="C2" s="14" t="s">
        <v>151</v>
      </c>
      <c r="D2" s="14" t="s">
        <v>152</v>
      </c>
      <c r="E2" s="14" t="s">
        <v>153</v>
      </c>
      <c r="F2" s="14" t="s">
        <v>154</v>
      </c>
      <c r="G2" s="14" t="s">
        <v>155</v>
      </c>
      <c r="H2" s="14" t="s">
        <v>156</v>
      </c>
      <c r="I2" s="14" t="s">
        <v>157</v>
      </c>
    </row>
    <row r="3" ht="21.75" customHeight="1">
      <c r="A3" s="67">
        <v>1.0</v>
      </c>
      <c r="B3" s="68" t="s">
        <v>158</v>
      </c>
      <c r="C3" s="67">
        <v>0.0</v>
      </c>
      <c r="D3" s="67">
        <v>0.0</v>
      </c>
      <c r="E3" s="67">
        <v>0.0</v>
      </c>
      <c r="F3" s="67">
        <v>0.0</v>
      </c>
      <c r="G3" s="67">
        <v>0.0</v>
      </c>
      <c r="H3" s="67">
        <v>0.0</v>
      </c>
      <c r="I3" s="69" t="str">
        <f t="shared" ref="I3:I5" si="1">IF(C3=MAX(C3:E3),"🏆 ChatGPT",IF(D3=MAX(C3:E3),"🏆 Gemini","🏆 Qwen"))</f>
        <v>🏆 ChatGPT</v>
      </c>
    </row>
    <row r="4" ht="21.75" customHeight="1">
      <c r="A4" s="70">
        <v>2.0</v>
      </c>
      <c r="B4" s="71" t="s">
        <v>159</v>
      </c>
      <c r="C4" s="70">
        <v>0.0</v>
      </c>
      <c r="D4" s="70">
        <v>0.0</v>
      </c>
      <c r="E4" s="70">
        <v>0.0</v>
      </c>
      <c r="F4" s="70">
        <v>0.0</v>
      </c>
      <c r="G4" s="70">
        <v>0.0</v>
      </c>
      <c r="H4" s="70">
        <v>0.0</v>
      </c>
      <c r="I4" s="72" t="str">
        <f t="shared" si="1"/>
        <v>🏆 ChatGPT</v>
      </c>
    </row>
    <row r="5" ht="21.75" customHeight="1">
      <c r="A5" s="67">
        <v>3.0</v>
      </c>
      <c r="B5" s="68" t="s">
        <v>160</v>
      </c>
      <c r="C5" s="67">
        <v>0.0</v>
      </c>
      <c r="D5" s="67">
        <v>0.0</v>
      </c>
      <c r="E5" s="67">
        <v>0.0</v>
      </c>
      <c r="F5" s="67">
        <v>0.0</v>
      </c>
      <c r="G5" s="67">
        <v>0.0</v>
      </c>
      <c r="H5" s="67">
        <v>0.0</v>
      </c>
      <c r="I5" s="69" t="str">
        <f t="shared" si="1"/>
        <v>🏆 ChatGPT</v>
      </c>
    </row>
    <row r="6" ht="25.5" customHeight="1">
      <c r="A6" s="73" t="s">
        <v>161</v>
      </c>
      <c r="B6" s="3"/>
      <c r="C6" s="74">
        <f t="shared" ref="C6:H6" si="2">AVERAGE(C3:C5)</f>
        <v>0</v>
      </c>
      <c r="D6" s="74">
        <f t="shared" si="2"/>
        <v>0</v>
      </c>
      <c r="E6" s="74">
        <f t="shared" si="2"/>
        <v>0</v>
      </c>
      <c r="F6" s="74">
        <f t="shared" si="2"/>
        <v>0</v>
      </c>
      <c r="G6" s="74">
        <f t="shared" si="2"/>
        <v>0</v>
      </c>
      <c r="H6" s="74">
        <f t="shared" si="2"/>
        <v>0</v>
      </c>
      <c r="I6" s="75"/>
    </row>
    <row r="9" ht="21.75" customHeight="1">
      <c r="A9" s="76" t="s">
        <v>162</v>
      </c>
      <c r="B9" s="2"/>
      <c r="C9" s="2"/>
      <c r="D9" s="2"/>
      <c r="E9" s="2"/>
      <c r="F9" s="2"/>
      <c r="G9" s="2"/>
      <c r="H9" s="2"/>
      <c r="I9" s="3"/>
    </row>
    <row r="10" ht="18.0" customHeight="1">
      <c r="A10" s="14" t="s">
        <v>163</v>
      </c>
      <c r="B10" s="14" t="s">
        <v>16</v>
      </c>
      <c r="C10" s="14" t="s">
        <v>17</v>
      </c>
      <c r="D10" s="14" t="s">
        <v>164</v>
      </c>
      <c r="E10" s="4" t="s">
        <v>19</v>
      </c>
      <c r="F10" s="2"/>
      <c r="G10" s="2"/>
      <c r="H10" s="2"/>
      <c r="I10" s="77"/>
    </row>
    <row r="11" ht="19.5" customHeight="1">
      <c r="A11" s="78" t="s">
        <v>165</v>
      </c>
      <c r="B11" s="79">
        <f t="shared" ref="B11:D11" si="3">C6</f>
        <v>0</v>
      </c>
      <c r="C11" s="79">
        <f t="shared" si="3"/>
        <v>0</v>
      </c>
      <c r="D11" s="79">
        <f t="shared" si="3"/>
        <v>0</v>
      </c>
      <c r="E11" s="80" t="s">
        <v>166</v>
      </c>
      <c r="F11" s="2"/>
      <c r="G11" s="2"/>
      <c r="H11" s="2"/>
      <c r="I11" s="3"/>
    </row>
    <row r="12" ht="19.5" customHeight="1">
      <c r="A12" s="28" t="s">
        <v>167</v>
      </c>
      <c r="B12" s="81"/>
      <c r="C12" s="81"/>
      <c r="D12" s="81"/>
      <c r="E12" s="82" t="s">
        <v>168</v>
      </c>
      <c r="F12" s="2"/>
      <c r="G12" s="2"/>
      <c r="H12" s="2"/>
      <c r="I12" s="3"/>
    </row>
    <row r="13" ht="19.5" customHeight="1">
      <c r="A13" s="78" t="s">
        <v>169</v>
      </c>
      <c r="B13" s="79"/>
      <c r="C13" s="79"/>
      <c r="D13" s="79"/>
      <c r="E13" s="80" t="s">
        <v>170</v>
      </c>
      <c r="F13" s="2"/>
      <c r="G13" s="2"/>
      <c r="H13" s="2"/>
      <c r="I13" s="3"/>
    </row>
    <row r="14" ht="19.5" customHeight="1">
      <c r="A14" s="28" t="s">
        <v>171</v>
      </c>
      <c r="B14" s="81"/>
      <c r="C14" s="81"/>
      <c r="D14" s="81"/>
      <c r="E14" s="82" t="s">
        <v>172</v>
      </c>
      <c r="F14" s="2"/>
      <c r="G14" s="2"/>
      <c r="H14" s="2"/>
      <c r="I14" s="3"/>
    </row>
    <row r="15" ht="19.5" customHeight="1">
      <c r="A15" s="78" t="s">
        <v>173</v>
      </c>
      <c r="B15" s="79"/>
      <c r="C15" s="79"/>
      <c r="D15" s="79"/>
      <c r="E15" s="80" t="s">
        <v>174</v>
      </c>
      <c r="F15" s="2"/>
      <c r="G15" s="2"/>
      <c r="H15" s="2"/>
      <c r="I15" s="3"/>
    </row>
    <row r="16" ht="19.5" customHeight="1">
      <c r="A16" s="28" t="s">
        <v>175</v>
      </c>
      <c r="B16" s="81" t="s">
        <v>176</v>
      </c>
      <c r="C16" s="81" t="s">
        <v>177</v>
      </c>
      <c r="D16" s="81" t="s">
        <v>178</v>
      </c>
      <c r="E16" s="82" t="s">
        <v>179</v>
      </c>
      <c r="F16" s="2"/>
      <c r="G16" s="2"/>
      <c r="H16" s="2"/>
      <c r="I16" s="3"/>
    </row>
    <row r="17" ht="19.5" customHeight="1">
      <c r="A17" s="78" t="s">
        <v>180</v>
      </c>
      <c r="B17" s="79"/>
      <c r="C17" s="79"/>
      <c r="D17" s="79"/>
      <c r="E17" s="80" t="s">
        <v>181</v>
      </c>
      <c r="F17" s="2"/>
      <c r="G17" s="2"/>
      <c r="H17" s="2"/>
      <c r="I17" s="3"/>
    </row>
    <row r="18" ht="19.5" customHeight="1">
      <c r="A18" s="28" t="s">
        <v>182</v>
      </c>
      <c r="B18" s="81"/>
      <c r="C18" s="81"/>
      <c r="D18" s="81"/>
      <c r="E18" s="82" t="s">
        <v>183</v>
      </c>
      <c r="F18" s="2"/>
      <c r="G18" s="2"/>
      <c r="H18" s="2"/>
      <c r="I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4:I14"/>
    <mergeCell ref="E15:I15"/>
    <mergeCell ref="E16:I16"/>
    <mergeCell ref="E17:I17"/>
    <mergeCell ref="E18:I18"/>
    <mergeCell ref="A1:I1"/>
    <mergeCell ref="A6:B6"/>
    <mergeCell ref="A9:I9"/>
    <mergeCell ref="E10:I10"/>
    <mergeCell ref="E11:I11"/>
    <mergeCell ref="E12:I12"/>
    <mergeCell ref="E13:I13"/>
  </mergeCells>
  <printOptions/>
  <pageMargins bottom="1.0" footer="0.0" header="0.0" left="0.75" right="0.75" top="1.0"/>
  <pageSetup paperSize="9" orientation="portrait"/>
  <drawing r:id="rId1"/>
</worksheet>
</file>